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rMonkey\Documents\GitHub\myPortfolio\"/>
    </mc:Choice>
  </mc:AlternateContent>
  <xr:revisionPtr revIDLastSave="0" documentId="13_ncr:1_{D4E90D16-5C76-4365-ADB9-EF48336C2A2C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README" sheetId="1" r:id="rId1"/>
    <sheet name="Datos_Cliente" sheetId="2" r:id="rId2"/>
    <sheet name="Configuracion" sheetId="3" r:id="rId3"/>
    <sheet name="Catalogo_Modulos" sheetId="4" r:id="rId4"/>
    <sheet name="Calculadora" sheetId="5" r:id="rId5"/>
    <sheet name="Cronograma" sheetId="6" r:id="rId6"/>
    <sheet name="Servicios_Mensuales" sheetId="7" r:id="rId7"/>
    <sheet name="Resumen_Cotizacion" sheetId="8" r:id="rId8"/>
    <sheet name="Checklist_Requerimi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8" l="1"/>
  <c r="D4" i="8"/>
  <c r="B4" i="8"/>
  <c r="F3" i="8"/>
  <c r="D3" i="8"/>
  <c r="B3" i="8"/>
  <c r="I7" i="7"/>
  <c r="I6" i="7"/>
  <c r="I5" i="7"/>
  <c r="I4" i="7"/>
  <c r="I11" i="7" s="1"/>
  <c r="D4" i="6"/>
  <c r="E4" i="6" s="1"/>
  <c r="D5" i="6" s="1"/>
  <c r="E5" i="6" s="1"/>
  <c r="D6" i="6" s="1"/>
  <c r="E6" i="6" s="1"/>
  <c r="D7" i="6" s="1"/>
  <c r="E7" i="6" s="1"/>
  <c r="D8" i="6" s="1"/>
  <c r="E8" i="6" s="1"/>
  <c r="D9" i="6" s="1"/>
  <c r="E9" i="6" s="1"/>
  <c r="H25" i="5"/>
  <c r="F25" i="5"/>
  <c r="G25" i="5" s="1"/>
  <c r="I25" i="5" s="1"/>
  <c r="J25" i="5" s="1"/>
  <c r="H24" i="5"/>
  <c r="F24" i="5"/>
  <c r="G24" i="5" s="1"/>
  <c r="I24" i="5" s="1"/>
  <c r="J24" i="5" s="1"/>
  <c r="H23" i="5"/>
  <c r="F23" i="5"/>
  <c r="G23" i="5" s="1"/>
  <c r="I23" i="5" s="1"/>
  <c r="J23" i="5" s="1"/>
  <c r="I22" i="5"/>
  <c r="J22" i="5" s="1"/>
  <c r="H22" i="5"/>
  <c r="G22" i="5"/>
  <c r="F22" i="5"/>
  <c r="I21" i="5"/>
  <c r="J21" i="5" s="1"/>
  <c r="H21" i="5"/>
  <c r="G21" i="5"/>
  <c r="F21" i="5"/>
  <c r="H20" i="5"/>
  <c r="G20" i="5"/>
  <c r="I20" i="5" s="1"/>
  <c r="J20" i="5" s="1"/>
  <c r="F20" i="5"/>
  <c r="I19" i="5"/>
  <c r="J19" i="5" s="1"/>
  <c r="H19" i="5"/>
  <c r="G19" i="5"/>
  <c r="F19" i="5"/>
  <c r="H18" i="5"/>
  <c r="G18" i="5"/>
  <c r="I18" i="5" s="1"/>
  <c r="J18" i="5" s="1"/>
  <c r="F18" i="5"/>
  <c r="H17" i="5"/>
  <c r="G17" i="5"/>
  <c r="I17" i="5" s="1"/>
  <c r="J17" i="5" s="1"/>
  <c r="F17" i="5"/>
  <c r="H16" i="5"/>
  <c r="F16" i="5"/>
  <c r="G16" i="5" s="1"/>
  <c r="I16" i="5" s="1"/>
  <c r="J16" i="5" s="1"/>
  <c r="H15" i="5"/>
  <c r="I15" i="5" s="1"/>
  <c r="J15" i="5" s="1"/>
  <c r="G15" i="5"/>
  <c r="F15" i="5"/>
  <c r="H14" i="5"/>
  <c r="F14" i="5"/>
  <c r="G14" i="5" s="1"/>
  <c r="I14" i="5" s="1"/>
  <c r="J14" i="5" s="1"/>
  <c r="H13" i="5"/>
  <c r="F13" i="5"/>
  <c r="G13" i="5" s="1"/>
  <c r="I13" i="5" s="1"/>
  <c r="J13" i="5" s="1"/>
  <c r="H12" i="5"/>
  <c r="G12" i="5"/>
  <c r="I12" i="5" s="1"/>
  <c r="J12" i="5" s="1"/>
  <c r="F12" i="5"/>
  <c r="H11" i="5"/>
  <c r="F11" i="5"/>
  <c r="G11" i="5" s="1"/>
  <c r="I11" i="5" s="1"/>
  <c r="J11" i="5" s="1"/>
  <c r="I10" i="5"/>
  <c r="J10" i="5" s="1"/>
  <c r="H10" i="5"/>
  <c r="G10" i="5"/>
  <c r="F10" i="5"/>
  <c r="H9" i="5"/>
  <c r="F9" i="5"/>
  <c r="G9" i="5" s="1"/>
  <c r="I9" i="5" s="1"/>
  <c r="J9" i="5" s="1"/>
  <c r="H8" i="5"/>
  <c r="G8" i="5"/>
  <c r="I8" i="5" s="1"/>
  <c r="J8" i="5" s="1"/>
  <c r="F8" i="5"/>
  <c r="H7" i="5"/>
  <c r="F7" i="5"/>
  <c r="G7" i="5" s="1"/>
  <c r="I7" i="5" s="1"/>
  <c r="J7" i="5" s="1"/>
  <c r="H6" i="5"/>
  <c r="F6" i="5"/>
  <c r="G6" i="5" s="1"/>
  <c r="I6" i="5" s="1"/>
  <c r="J6" i="5" s="1"/>
  <c r="H5" i="5"/>
  <c r="F5" i="5"/>
  <c r="G5" i="5" s="1"/>
  <c r="I5" i="5" s="1"/>
  <c r="J5" i="5" s="1"/>
  <c r="H4" i="5"/>
  <c r="F4" i="5"/>
  <c r="G4" i="5" s="1"/>
  <c r="B12" i="8" l="1"/>
  <c r="I12" i="7"/>
  <c r="I4" i="5"/>
  <c r="B34" i="5"/>
  <c r="B7" i="8" s="1"/>
  <c r="J4" i="5" l="1"/>
  <c r="B36" i="5" s="1"/>
  <c r="B35" i="5"/>
  <c r="B8" i="8" s="1"/>
  <c r="B37" i="5" l="1"/>
  <c r="B38" i="5" s="1"/>
  <c r="B39" i="5" l="1"/>
  <c r="B40" i="5" s="1"/>
  <c r="B41" i="5" l="1"/>
  <c r="B42" i="5" s="1"/>
  <c r="B9" i="8" l="1"/>
  <c r="B43" i="5"/>
  <c r="B10" i="8" s="1"/>
  <c r="B44" i="5" l="1"/>
  <c r="B11" i="8" s="1"/>
</calcChain>
</file>

<file path=xl/sharedStrings.xml><?xml version="1.0" encoding="utf-8"?>
<sst xmlns="http://schemas.openxmlformats.org/spreadsheetml/2006/main" count="625" uniqueCount="350">
  <si>
    <t>PLANTILLA MADRE DE COTIZACIÓN WEB — A&amp;V Devs / Mr Monkey</t>
  </si>
  <si>
    <t>Objetivo</t>
  </si>
  <si>
    <t>Usar esta planilla como base estándar para cotizar proyectos web de cualquier cliente: landing, web corporativa, catálogo, ecommerce, reservas, integraciones, automatizaciones y mantenimiento.</t>
  </si>
  <si>
    <t>Flujo recomendado</t>
  </si>
  <si>
    <t>1) Completar Datos_Cliente. 2) Ajustar Configuracion. 3) Seleccionar módulos en Calculadora. 4) Revisar Cronograma. 5) Definir Servicios_Mensuales. 6) Copiar Resumen_Cotizacion al documento/propuesta.</t>
  </si>
  <si>
    <t>Regla práctica</t>
  </si>
  <si>
    <t>La cotización base se calcula por horas estimadas x tarifa. Luego aplica complejidad, urgencia, contingencia, margen comercial e IVA opcional.</t>
  </si>
  <si>
    <t>Uso comercial</t>
  </si>
  <si>
    <t>La hoja permite mantener consistencia entre clientes, justificar valores profesionalmente y adaptar el alcance sin rehacer todo desde cero.</t>
  </si>
  <si>
    <t>Importante</t>
  </si>
  <si>
    <t>Los valores son editables. Debes calibrarlos con tu experiencia, mercado local chileno, tipo de cliente y dificultad real del proyecto.</t>
  </si>
  <si>
    <t>Hojas incluidas</t>
  </si>
  <si>
    <t>Datos_Cliente</t>
  </si>
  <si>
    <t>Configuracion</t>
  </si>
  <si>
    <t>Catalogo_Modulos</t>
  </si>
  <si>
    <t>Calculadora</t>
  </si>
  <si>
    <t>Cronograma</t>
  </si>
  <si>
    <t>Servicios_Mensuales</t>
  </si>
  <si>
    <t>Resumen_Cotizacion</t>
  </si>
  <si>
    <t>DATOS DEL CLIENTE Y PROYECTO</t>
  </si>
  <si>
    <t>Fecha cotización</t>
  </si>
  <si>
    <t>Responsable</t>
  </si>
  <si>
    <t>Alfredo / Mr Monkey</t>
  </si>
  <si>
    <t>Cliente / Empresa</t>
  </si>
  <si>
    <t>RUT</t>
  </si>
  <si>
    <t>Contacto</t>
  </si>
  <si>
    <t>Email</t>
  </si>
  <si>
    <t>Teléfono</t>
  </si>
  <si>
    <t>Ciudad / País</t>
  </si>
  <si>
    <t>Chile</t>
  </si>
  <si>
    <t>Tipo de proyecto</t>
  </si>
  <si>
    <t>Web corporativa</t>
  </si>
  <si>
    <t>Estado actual</t>
  </si>
  <si>
    <t>Nuevo / Remodelación</t>
  </si>
  <si>
    <t>Dominio</t>
  </si>
  <si>
    <t>Hosting</t>
  </si>
  <si>
    <t>Cliente / Nuevo / No definido</t>
  </si>
  <si>
    <t>Sitio actual</t>
  </si>
  <si>
    <t>Referencia visual</t>
  </si>
  <si>
    <t>Objetivo principal</t>
  </si>
  <si>
    <t>Fecha deseada</t>
  </si>
  <si>
    <t>Público objetivo</t>
  </si>
  <si>
    <t>Prioridad</t>
  </si>
  <si>
    <t>Media</t>
  </si>
  <si>
    <t>Observaciones comerciales</t>
  </si>
  <si>
    <t>Notas internas</t>
  </si>
  <si>
    <t>CONFIGURACIÓN GENERAL DE CÁLCULO</t>
  </si>
  <si>
    <t>Parametro</t>
  </si>
  <si>
    <t>Valor</t>
  </si>
  <si>
    <t>Unidad</t>
  </si>
  <si>
    <t>Descripción</t>
  </si>
  <si>
    <t>Editable</t>
  </si>
  <si>
    <t>Notas</t>
  </si>
  <si>
    <t>Tarifa hora base</t>
  </si>
  <si>
    <t>CLP/h</t>
  </si>
  <si>
    <t>Tarifa interna mínima por hora de desarrollo/diseño/gestión.</t>
  </si>
  <si>
    <t>Sí</t>
  </si>
  <si>
    <t>Ajustar según seniority y mercado.</t>
  </si>
  <si>
    <t>Factor complejidad baja</t>
  </si>
  <si>
    <t>factor</t>
  </si>
  <si>
    <t>Proyecto simple, pocas integraciones, contenido claro.</t>
  </si>
  <si>
    <t>Factor complejidad media</t>
  </si>
  <si>
    <t>Proyecto estándar con diseño personalizado y módulos comunes.</t>
  </si>
  <si>
    <t>Factor complejidad alta</t>
  </si>
  <si>
    <t>Proyecto con ecommerce, integraciones, automatizaciones o alta personalización.</t>
  </si>
  <si>
    <t>Factor urgencia normal</t>
  </si>
  <si>
    <t>Plazo cómodo.</t>
  </si>
  <si>
    <t>Factor urgencia alta</t>
  </si>
  <si>
    <t>Plazo ajustado o trabajo fuera de flujo normal.</t>
  </si>
  <si>
    <t>Contingencia</t>
  </si>
  <si>
    <t>%</t>
  </si>
  <si>
    <t>Riesgo técnico, cambios menores y colchón de implementación.</t>
  </si>
  <si>
    <t>Recomendado 10% a 20%.</t>
  </si>
  <si>
    <t>Margen comercial</t>
  </si>
  <si>
    <t>Margen comercial/empresa sobre costo estimado.</t>
  </si>
  <si>
    <t>IVA</t>
  </si>
  <si>
    <t>Impuesto si corresponde facturar afecto a IVA.</t>
  </si>
  <si>
    <t>Chile: 19%.</t>
  </si>
  <si>
    <t>Aplicar IVA</t>
  </si>
  <si>
    <t>Sí/No</t>
  </si>
  <si>
    <t>Controla si el resumen muestra total con IVA.</t>
  </si>
  <si>
    <t>Descuento comercial</t>
  </si>
  <si>
    <t>Descuento opcional sobre subtotal antes de IVA.</t>
  </si>
  <si>
    <t>Factor remodelación</t>
  </si>
  <si>
    <t>Cuando ya existe página, dominio y hosting, pero requiere rediseño/remodelación.</t>
  </si>
  <si>
    <t>Usar 0,75 a 0,95 según reutilización real.</t>
  </si>
  <si>
    <t>CATÁLOGO ESTÁNDAR DE MÓDULOS WEB</t>
  </si>
  <si>
    <t>Categoria</t>
  </si>
  <si>
    <t>Modulo</t>
  </si>
  <si>
    <t>Horas baja</t>
  </si>
  <si>
    <t>Horas media</t>
  </si>
  <si>
    <t>Horas alta</t>
  </si>
  <si>
    <t>Entregable</t>
  </si>
  <si>
    <t>Aplica a</t>
  </si>
  <si>
    <t>Fuente/Referencia</t>
  </si>
  <si>
    <t>Base</t>
  </si>
  <si>
    <t>Levantamiento de requerimientos</t>
  </si>
  <si>
    <t>Entrevista, alcance, objetivos, restricciones, propuesta base.</t>
  </si>
  <si>
    <t>Documento de requerimientos</t>
  </si>
  <si>
    <t>Todos</t>
  </si>
  <si>
    <t>Siempre considerar.</t>
  </si>
  <si>
    <t>Arquitectura de información</t>
  </si>
  <si>
    <t>Mapa del sitio, estructura de navegación, jerarquía de contenidos.</t>
  </si>
  <si>
    <t>Sitemap / estructura</t>
  </si>
  <si>
    <t>Clave para evitar retrabajo.</t>
  </si>
  <si>
    <t>Diseño</t>
  </si>
  <si>
    <t>Dirección visual</t>
  </si>
  <si>
    <t>Paleta, tipografías, estilo de componentes, tono visual.</t>
  </si>
  <si>
    <t>Mini design system</t>
  </si>
  <si>
    <t>Puede crecer con branding.</t>
  </si>
  <si>
    <t>UI Home personalizada</t>
  </si>
  <si>
    <t>Diseño de portada principal responsive.</t>
  </si>
  <si>
    <t>Home desktop/mobile</t>
  </si>
  <si>
    <t>Se cotiza más si hay animaciones.</t>
  </si>
  <si>
    <t>Diseño de vistas internas</t>
  </si>
  <si>
    <t>Diseño de páginas internas, secciones y componentes reutilizables.</t>
  </si>
  <si>
    <t>Vistas internas</t>
  </si>
  <si>
    <t>Multiplicar por cantidad.</t>
  </si>
  <si>
    <t>Frontend</t>
  </si>
  <si>
    <t>Maquetación responsive</t>
  </si>
  <si>
    <t>Implementación mobile-first, tablet y desktop.</t>
  </si>
  <si>
    <t>Sitio responsive</t>
  </si>
  <si>
    <t>Base según número de vistas.</t>
  </si>
  <si>
    <t>Animaciones sutiles</t>
  </si>
  <si>
    <t>Microinteracciones, transiciones, efectos de scroll.</t>
  </si>
  <si>
    <t>Animaciones</t>
  </si>
  <si>
    <t>Evitar exceso si afecta performance.</t>
  </si>
  <si>
    <t>Contenido</t>
  </si>
  <si>
    <t>Carga de contenido</t>
  </si>
  <si>
    <t>Textos, imágenes, banners, secciones, enlaces.</t>
  </si>
  <si>
    <t>Contenido cargado</t>
  </si>
  <si>
    <t>Multiplicar por cantidad/lote.</t>
  </si>
  <si>
    <t>SEO</t>
  </si>
  <si>
    <t>SEO técnico básico</t>
  </si>
  <si>
    <t>Metatítulos, metadescripciones, headings, sitemap, robots.</t>
  </si>
  <si>
    <t>SEO base</t>
  </si>
  <si>
    <t>Complementa plan mensual SEO.</t>
  </si>
  <si>
    <t>Legal</t>
  </si>
  <si>
    <t>Páginas legales</t>
  </si>
  <si>
    <t>Políticas de privacidad, términos, cambios/devoluciones, cookies si aplica.</t>
  </si>
  <si>
    <t>Corporativo/Ecommerce</t>
  </si>
  <si>
    <t>Cliente debe validar textos legales.</t>
  </si>
  <si>
    <t>Formulario</t>
  </si>
  <si>
    <t>Formulario de contacto</t>
  </si>
  <si>
    <t>Formulario con validaciones y envío por email.</t>
  </si>
  <si>
    <t>Formulario funcional</t>
  </si>
  <si>
    <t>Puede requerir SMTP/API.</t>
  </si>
  <si>
    <t>Formulario avanzado</t>
  </si>
  <si>
    <t>Cotización, reserva, filtros condicionales o adjuntos.</t>
  </si>
  <si>
    <t>Servicios/Reservas</t>
  </si>
  <si>
    <t>Mayor QA.</t>
  </si>
  <si>
    <t>Integración</t>
  </si>
  <si>
    <t>WhatsApp / CTA comercial</t>
  </si>
  <si>
    <t>Botones y flujos hacia WhatsApp, email o teléfono.</t>
  </si>
  <si>
    <t>CTA funcionando</t>
  </si>
  <si>
    <t>Rápido, alto impacto.</t>
  </si>
  <si>
    <t>Ecommerce</t>
  </si>
  <si>
    <t>Catálogo de productos</t>
  </si>
  <si>
    <t>Listado, grilla, ficha, categorías, búsqueda/filtros.</t>
  </si>
  <si>
    <t>Catálogo funcional</t>
  </si>
  <si>
    <t>Ecommerce/Catálogo</t>
  </si>
  <si>
    <t>Complejidad depende de inventario.</t>
  </si>
  <si>
    <t>Carrito y checkout</t>
  </si>
  <si>
    <t>Carrito, checkout, confirmación de compra.</t>
  </si>
  <si>
    <t>Flujo de compra</t>
  </si>
  <si>
    <t>Depende de plataforma.</t>
  </si>
  <si>
    <t>Pasarela de pago</t>
  </si>
  <si>
    <t>Integración Webpay, MercadoPago u otra pasarela.</t>
  </si>
  <si>
    <t>Pago integrado</t>
  </si>
  <si>
    <t>Puede requerir ambiente producción.</t>
  </si>
  <si>
    <t>https://www.transbankdevelopers.cl/</t>
  </si>
  <si>
    <t>Carga inicial de productos</t>
  </si>
  <si>
    <t>Carga de productos, variaciones, precios, fotos y atributos.</t>
  </si>
  <si>
    <t>Productos cargados</t>
  </si>
  <si>
    <t>Multiplicar por lotes.</t>
  </si>
  <si>
    <t>Gestión de inventario</t>
  </si>
  <si>
    <t>Stock, SKU, variaciones, alertas básicas.</t>
  </si>
  <si>
    <t>Inventario configurado</t>
  </si>
  <si>
    <t>Depende del CMS/plataforma.</t>
  </si>
  <si>
    <t>Reservas</t>
  </si>
  <si>
    <t>Agenda / reservas</t>
  </si>
  <si>
    <t>Sistema de reserva, disponibilidad, confirmaciones.</t>
  </si>
  <si>
    <t>Agenda funcionando</t>
  </si>
  <si>
    <t>Servicios</t>
  </si>
  <si>
    <t>Puede requerir pagos/señales.</t>
  </si>
  <si>
    <t>Analytics y tracking</t>
  </si>
  <si>
    <t>Google Analytics, Search Console, Pixel/Meta básico.</t>
  </si>
  <si>
    <t>Tracking instalado</t>
  </si>
  <si>
    <t>Solicitar accesos.</t>
  </si>
  <si>
    <t>QA</t>
  </si>
  <si>
    <t>Pruebas y correcciones</t>
  </si>
  <si>
    <t>QA responsive, formularios, navegación, performance básica.</t>
  </si>
  <si>
    <t>Checklist QA</t>
  </si>
  <si>
    <t>Deploy</t>
  </si>
  <si>
    <t>Publicación y traspaso</t>
  </si>
  <si>
    <t>Deploy, DNS, SSL, respaldos iniciales, capacitación breve.</t>
  </si>
  <si>
    <t>Sitio publicado</t>
  </si>
  <si>
    <t>Depende de hosting.</t>
  </si>
  <si>
    <t>CALCULADORA PRINCIPAL DE COTIZACIÓN</t>
  </si>
  <si>
    <t>Incluir</t>
  </si>
  <si>
    <t>Módulo</t>
  </si>
  <si>
    <t>Cantidad</t>
  </si>
  <si>
    <t>Complejidad</t>
  </si>
  <si>
    <t>Horas unitarias</t>
  </si>
  <si>
    <t>Horas base</t>
  </si>
  <si>
    <t>Factor proyecto</t>
  </si>
  <si>
    <t>Horas ajustadas</t>
  </si>
  <si>
    <t>Costo base</t>
  </si>
  <si>
    <t>Observación</t>
  </si>
  <si>
    <t>Entrevista y definición de alcance</t>
  </si>
  <si>
    <t>Documento</t>
  </si>
  <si>
    <t>Alta</t>
  </si>
  <si>
    <t>Mapa del sitio y navegación</t>
  </si>
  <si>
    <t>Sitemap</t>
  </si>
  <si>
    <t>Paleta, tipografías, componentes</t>
  </si>
  <si>
    <t>Home principal</t>
  </si>
  <si>
    <t>Diseño UI</t>
  </si>
  <si>
    <t>Páginas internas</t>
  </si>
  <si>
    <t>Diseños</t>
  </si>
  <si>
    <t>Implementación responsive</t>
  </si>
  <si>
    <t>Opcional</t>
  </si>
  <si>
    <t>Microinteracciones</t>
  </si>
  <si>
    <t>Carga inicial de textos/imágenes</t>
  </si>
  <si>
    <t>SEO inicial</t>
  </si>
  <si>
    <t>Políticas y términos</t>
  </si>
  <si>
    <t>Contacto funcional</t>
  </si>
  <si>
    <t>Cotizador/reservas/adjuntos</t>
  </si>
  <si>
    <t>Baja</t>
  </si>
  <si>
    <t>Botones comerciales</t>
  </si>
  <si>
    <t>CTA</t>
  </si>
  <si>
    <t>Listado, filtros, ficha producto</t>
  </si>
  <si>
    <t>Catálogo</t>
  </si>
  <si>
    <t>Checkout</t>
  </si>
  <si>
    <t>Webpay/MercadoPago</t>
  </si>
  <si>
    <t>Pago</t>
  </si>
  <si>
    <t>Productos iniciales</t>
  </si>
  <si>
    <t>Carga productos</t>
  </si>
  <si>
    <t>Stock/SKU/variaciones</t>
  </si>
  <si>
    <t>Inventario</t>
  </si>
  <si>
    <t>Agenda online</t>
  </si>
  <si>
    <t>GA/Search Console/Pixel</t>
  </si>
  <si>
    <t>Tracking</t>
  </si>
  <si>
    <t>QA responsive y funcional</t>
  </si>
  <si>
    <t>Deploy, SSL, capacitación</t>
  </si>
  <si>
    <t>Publicación</t>
  </si>
  <si>
    <t>Resumen de cálculo</t>
  </si>
  <si>
    <t>Costo directo</t>
  </si>
  <si>
    <t>Subtotal con contingencia</t>
  </si>
  <si>
    <t>Subtotal neto</t>
  </si>
  <si>
    <t>Descuento</t>
  </si>
  <si>
    <t>Total neto</t>
  </si>
  <si>
    <t>Total con IVA</t>
  </si>
  <si>
    <t>CRONOGRAMA ESTÁNDAR</t>
  </si>
  <si>
    <t>Fase</t>
  </si>
  <si>
    <t>Duración días</t>
  </si>
  <si>
    <t>Inicio estimado</t>
  </si>
  <si>
    <t>Fin estimado</t>
  </si>
  <si>
    <t>Estado</t>
  </si>
  <si>
    <t>1. Levantamiento</t>
  </si>
  <si>
    <t>Reunión, objetivos, alcance y recopilación de material.</t>
  </si>
  <si>
    <t>Cliente + Dev</t>
  </si>
  <si>
    <t>Requerimientos aprobados</t>
  </si>
  <si>
    <t>Pendiente</t>
  </si>
  <si>
    <t>2. Diseño UX/UI</t>
  </si>
  <si>
    <t>Sitemap, dirección visual, vistas clave y validación.</t>
  </si>
  <si>
    <t>Dev/Diseño</t>
  </si>
  <si>
    <t>Diseño aprobado</t>
  </si>
  <si>
    <t>3. Desarrollo</t>
  </si>
  <si>
    <t>Construcción frontend/backend/CMS según alcance.</t>
  </si>
  <si>
    <t>Dev</t>
  </si>
  <si>
    <t>Versión funcional</t>
  </si>
  <si>
    <t>4. Contenido e integraciones</t>
  </si>
  <si>
    <t>Carga de contenido, SEO base, formularios, pagos o integraciones.</t>
  </si>
  <si>
    <t>Dev + Cliente</t>
  </si>
  <si>
    <t>Sitio prepublicado</t>
  </si>
  <si>
    <t>5. QA y ajustes</t>
  </si>
  <si>
    <t>Pruebas, correcciones, performance básica y revisión responsive.</t>
  </si>
  <si>
    <t>6. Publicación y capacitación</t>
  </si>
  <si>
    <t>Deploy, DNS/SSL, entrega, capacitación y cierre.</t>
  </si>
  <si>
    <t>SERVICIOS MENSUALES OPCIONALES</t>
  </si>
  <si>
    <t>Servicio</t>
  </si>
  <si>
    <t>Plan</t>
  </si>
  <si>
    <t>Valor mensual</t>
  </si>
  <si>
    <t>Horas incluidas</t>
  </si>
  <si>
    <t>SLA</t>
  </si>
  <si>
    <t>Entregables</t>
  </si>
  <si>
    <t>Observaciones</t>
  </si>
  <si>
    <t>Total mensual</t>
  </si>
  <si>
    <t>Mantenimiento</t>
  </si>
  <si>
    <t>Esencial</t>
  </si>
  <si>
    <t>Email 72h</t>
  </si>
  <si>
    <t>Actualizaciones mensuales, escaneo seguridad básico</t>
  </si>
  <si>
    <t>Tu precio publicado</t>
  </si>
  <si>
    <t>SEO Local</t>
  </si>
  <si>
    <t>Mensual</t>
  </si>
  <si>
    <t>Google Business Profile, keywords locales, SEO on-page básico</t>
  </si>
  <si>
    <t>Redes sociales</t>
  </si>
  <si>
    <t>Plan Emprendedor</t>
  </si>
  <si>
    <t>1–2 redes, 8–10 publicaciones, copy y comunidad básica</t>
  </si>
  <si>
    <t>Bolsa de horas</t>
  </si>
  <si>
    <t>Soporte evolutivo</t>
  </si>
  <si>
    <t>Según agenda</t>
  </si>
  <si>
    <t>Mejoras, ajustes, nuevas secciones pequeñas</t>
  </si>
  <si>
    <t>Resumen mensual</t>
  </si>
  <si>
    <t>Total mensual seleccionado</t>
  </si>
  <si>
    <t>Total anual estimado</t>
  </si>
  <si>
    <t>RESUMEN EJECUTIVO DE COTIZACIÓN</t>
  </si>
  <si>
    <t>Cliente</t>
  </si>
  <si>
    <t>Proyecto</t>
  </si>
  <si>
    <t>Fecha</t>
  </si>
  <si>
    <t>Referencia</t>
  </si>
  <si>
    <t>Concepto</t>
  </si>
  <si>
    <t>Horas base estimadas</t>
  </si>
  <si>
    <t>Sin ajustes comerciales</t>
  </si>
  <si>
    <t>Considera factor de remodelación/proyecto</t>
  </si>
  <si>
    <t>Antes de IVA</t>
  </si>
  <si>
    <t>Según configuración</t>
  </si>
  <si>
    <t>TOTAL PROYECTO</t>
  </si>
  <si>
    <t>Total estimado</t>
  </si>
  <si>
    <t>Mensualidad opcional</t>
  </si>
  <si>
    <t>Servicios mensuales seleccionados</t>
  </si>
  <si>
    <t>Alcance recomendado para propuesta</t>
  </si>
  <si>
    <t>Esta cotización considera diseño/implementación web según módulos seleccionados, revisión responsive, SEO técnico base, QA funcional y publicación. Cambios mayores de alcance, integraciones no declaradas, licencias, fotografías profesionales, redacción legal especializada o costos de terceros se cotizan aparte.</t>
  </si>
  <si>
    <t>CHECKLIST DE TOMA DE REQUERIMIENTOS</t>
  </si>
  <si>
    <t>Área</t>
  </si>
  <si>
    <t>Pregunta</t>
  </si>
  <si>
    <t>Respuesta cliente</t>
  </si>
  <si>
    <t>Impacta costo</t>
  </si>
  <si>
    <t>Negocio</t>
  </si>
  <si>
    <t>¿Cuál es el objetivo principal del sitio?</t>
  </si>
  <si>
    <t>¿Quién es el público objetivo y ciudad/país principal?</t>
  </si>
  <si>
    <t>¿El cliente entregará textos, fotos, logo y branding?</t>
  </si>
  <si>
    <t>¿Existen referencias visuales aprobadas?</t>
  </si>
  <si>
    <t>Estructura</t>
  </si>
  <si>
    <t>¿Cuántas páginas/vistas necesita?</t>
  </si>
  <si>
    <t>Funcional</t>
  </si>
  <si>
    <t>¿Requiere formularios, reservas, cotizador o subida de archivos?</t>
  </si>
  <si>
    <t>¿Venderá online? ¿Qué pasarela usará?</t>
  </si>
  <si>
    <t>Cliente/Dev</t>
  </si>
  <si>
    <t>¿Cuántos productos iniciales y variaciones tendrá?</t>
  </si>
  <si>
    <t>Operación</t>
  </si>
  <si>
    <t>¿Quién administrará productos/contenido después?</t>
  </si>
  <si>
    <t>¿Necesita SEO local, Google Business Profile o campañas?</t>
  </si>
  <si>
    <t>¿Tiene políticas de privacidad, términos, cambios y devoluciones?</t>
  </si>
  <si>
    <t>Infra</t>
  </si>
  <si>
    <t>¿Ya tiene dominio, hosting, correos y accesos?</t>
  </si>
  <si>
    <t>Integraciones</t>
  </si>
  <si>
    <t>¿Debe conectarse con ERP, inventario, CRM, WhatsApp, mailing u otros?</t>
  </si>
  <si>
    <t>Plazo</t>
  </si>
  <si>
    <t>¿Hay fecha de lanzamiento o urgencia comercial?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</si>
</sst>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$#,##0"/>
    <numFmt numFmtId="166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1E3A8A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FF7ED"/>
      </patternFill>
    </fill>
    <fill>
      <patternFill patternType="solid">
        <fgColor rgb="FFDCFCE7"/>
      </patternFill>
    </fill>
    <fill>
      <patternFill patternType="solid">
        <fgColor rgb="FF1D4ED8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Border="1"/>
    <xf numFmtId="164" fontId="0" fillId="4" borderId="0" xfId="0" applyNumberFormat="1" applyFont="1" applyFill="1" applyBorder="1"/>
    <xf numFmtId="0" fontId="5" fillId="2" borderId="0" xfId="0" applyNumberFormat="1" applyFont="1" applyFill="1" applyBorder="1"/>
    <xf numFmtId="0" fontId="5" fillId="2" borderId="0" xfId="0" applyNumberFormat="1" applyFont="1" applyFill="1" applyBorder="1" applyAlignment="1">
      <alignment horizontal="center" vertical="center" wrapText="1"/>
    </xf>
    <xf numFmtId="165" fontId="0" fillId="4" borderId="0" xfId="0" applyNumberFormat="1" applyFont="1" applyFill="1" applyBorder="1" applyAlignment="1">
      <alignment wrapText="1"/>
    </xf>
    <xf numFmtId="2" fontId="0" fillId="4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9" fontId="0" fillId="4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6" fontId="0" fillId="5" borderId="0" xfId="0" applyNumberFormat="1" applyFont="1" applyFill="1" applyBorder="1"/>
    <xf numFmtId="165" fontId="0" fillId="5" borderId="0" xfId="0" applyNumberFormat="1" applyFont="1" applyFill="1" applyBorder="1"/>
    <xf numFmtId="164" fontId="0" fillId="0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165" fontId="5" fillId="2" borderId="0" xfId="0" applyNumberFormat="1" applyFont="1" applyFill="1" applyBorder="1"/>
    <xf numFmtId="0" fontId="5" fillId="7" borderId="0" xfId="0" applyNumberFormat="1" applyFont="1" applyFill="1" applyBorder="1"/>
    <xf numFmtId="165" fontId="5" fillId="7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0" fillId="0" borderId="0" xfId="0"/>
    <xf numFmtId="0" fontId="4" fillId="2" borderId="0" xfId="0" applyNumberFormat="1" applyFont="1" applyFill="1" applyBorder="1" applyAlignment="1">
      <alignment horizontal="center"/>
    </xf>
    <xf numFmtId="0" fontId="5" fillId="6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atalogoModulos" displayName="TablaCatalogoModulos" ref="A3:J25">
  <tableColumns count="10">
    <tableColumn id="1" xr3:uid="{00000000-0010-0000-0000-000001000000}" name="Categoria"/>
    <tableColumn id="2" xr3:uid="{00000000-0010-0000-0000-000002000000}" name="Modulo"/>
    <tableColumn id="3" xr3:uid="{00000000-0010-0000-0000-000003000000}" name="Descripción"/>
    <tableColumn id="4" xr3:uid="{00000000-0010-0000-0000-000004000000}" name="Horas baja"/>
    <tableColumn id="5" xr3:uid="{00000000-0010-0000-0000-000005000000}" name="Horas media"/>
    <tableColumn id="6" xr3:uid="{00000000-0010-0000-0000-000006000000}" name="Horas alta"/>
    <tableColumn id="7" xr3:uid="{00000000-0010-0000-0000-000007000000}" name="Entregable"/>
    <tableColumn id="8" xr3:uid="{00000000-0010-0000-0000-000008000000}" name="Aplica a"/>
    <tableColumn id="9" xr3:uid="{00000000-0010-0000-0000-000009000000}" name="Notas"/>
    <tableColumn id="10" xr3:uid="{00000000-0010-0000-0000-00000A000000}" name="Fuente/Refere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Calculadora" displayName="TablaCalculadora" ref="A3:M25">
  <tableColumns count="13">
    <tableColumn id="1" xr3:uid="{00000000-0010-0000-0100-000001000000}" name="Incluir"/>
    <tableColumn id="2" xr3:uid="{00000000-0010-0000-0100-000002000000}" name="Categoria"/>
    <tableColumn id="3" xr3:uid="{00000000-0010-0000-0100-000003000000}" name="Módulo"/>
    <tableColumn id="4" xr3:uid="{00000000-0010-0000-0100-000004000000}" name="Cantidad"/>
    <tableColumn id="5" xr3:uid="{00000000-0010-0000-0100-000005000000}" name="Complejidad"/>
    <tableColumn id="6" xr3:uid="{00000000-0010-0000-0100-000006000000}" name="Horas unitarias"/>
    <tableColumn id="7" xr3:uid="{00000000-0010-0000-0100-000007000000}" name="Horas base"/>
    <tableColumn id="8" xr3:uid="{00000000-0010-0000-0100-000008000000}" name="Factor proyecto"/>
    <tableColumn id="9" xr3:uid="{00000000-0010-0000-0100-000009000000}" name="Horas ajustadas"/>
    <tableColumn id="10" xr3:uid="{00000000-0010-0000-0100-00000A000000}" name="Costo base"/>
    <tableColumn id="11" xr3:uid="{00000000-0010-0000-0100-00000B000000}" name="Observación"/>
    <tableColumn id="12" xr3:uid="{00000000-0010-0000-0100-00000C000000}" name="Entregable"/>
    <tableColumn id="13" xr3:uid="{00000000-0010-0000-0100-00000D000000}" name="Prior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Cronograma" displayName="TablaCronograma" ref="A3:H9">
  <tableColumns count="8">
    <tableColumn id="1" xr3:uid="{00000000-0010-0000-0200-000001000000}" name="Fase"/>
    <tableColumn id="2" xr3:uid="{00000000-0010-0000-0200-000002000000}" name="Descripción"/>
    <tableColumn id="3" xr3:uid="{00000000-0010-0000-0200-000003000000}" name="Duración días"/>
    <tableColumn id="4" xr3:uid="{00000000-0010-0000-0200-000004000000}" name="Inicio estimado"/>
    <tableColumn id="5" xr3:uid="{00000000-0010-0000-0200-000005000000}" name="Fin estimado"/>
    <tableColumn id="6" xr3:uid="{00000000-0010-0000-0200-000006000000}" name="Responsable"/>
    <tableColumn id="7" xr3:uid="{00000000-0010-0000-0200-000007000000}" name="Entregable"/>
    <tableColumn id="8" xr3:uid="{00000000-0010-0000-0200-000008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ServiciosMensuales" displayName="TablaServiciosMensuales" ref="A3:I7">
  <tableColumns count="9">
    <tableColumn id="1" xr3:uid="{00000000-0010-0000-0300-000001000000}" name="Incluir"/>
    <tableColumn id="2" xr3:uid="{00000000-0010-0000-0300-000002000000}" name="Servicio"/>
    <tableColumn id="3" xr3:uid="{00000000-0010-0000-0300-000003000000}" name="Plan"/>
    <tableColumn id="4" xr3:uid="{00000000-0010-0000-0300-000004000000}" name="Valor mensual"/>
    <tableColumn id="5" xr3:uid="{00000000-0010-0000-0300-000005000000}" name="Horas incluidas"/>
    <tableColumn id="6" xr3:uid="{00000000-0010-0000-0300-000006000000}" name="SLA"/>
    <tableColumn id="7" xr3:uid="{00000000-0010-0000-0300-000007000000}" name="Entregables"/>
    <tableColumn id="8" xr3:uid="{00000000-0010-0000-0300-000008000000}" name="Observaciones"/>
    <tableColumn id="9" xr3:uid="{00000000-0010-0000-0300-000009000000}" name="Total mens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Checklist" displayName="TablaChecklist" ref="A3:H17">
  <tableColumns count="8">
    <tableColumn id="1" xr3:uid="{00000000-0010-0000-0400-000001000000}" name="Área"/>
    <tableColumn id="2" xr3:uid="{00000000-0010-0000-0400-000002000000}" name="Pregunta"/>
    <tableColumn id="3" xr3:uid="{00000000-0010-0000-0400-000003000000}" name="Respuesta cliente"/>
    <tableColumn id="4" xr3:uid="{00000000-0010-0000-0400-000004000000}" name="Impacta costo"/>
    <tableColumn id="5" xr3:uid="{00000000-0010-0000-0400-000005000000}" name="Prioridad"/>
    <tableColumn id="6" xr3:uid="{00000000-0010-0000-0400-000006000000}" name="Estado"/>
    <tableColumn id="7" xr3:uid="{00000000-0010-0000-0400-000007000000}" name="Notas internas"/>
    <tableColumn id="8" xr3:uid="{00000000-0010-0000-0400-000008000000}" name="Respons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baseColWidth="10" defaultColWidth="9" defaultRowHeight="14.25"/>
  <cols>
    <col min="1" max="1" width="24" customWidth="1"/>
    <col min="2" max="2" width="75" customWidth="1"/>
    <col min="3" max="8" width="24" customWidth="1"/>
  </cols>
  <sheetData>
    <row r="1" spans="1:8" ht="20.25">
      <c r="A1" s="25" t="s">
        <v>0</v>
      </c>
      <c r="B1" s="26"/>
      <c r="C1" s="26"/>
      <c r="D1" s="26"/>
      <c r="E1" s="26"/>
      <c r="F1" s="26"/>
      <c r="G1" s="26"/>
      <c r="H1" s="26"/>
    </row>
    <row r="3" spans="1:8" ht="43.5">
      <c r="A3" s="1" t="s">
        <v>1</v>
      </c>
      <c r="B3" s="2" t="s">
        <v>2</v>
      </c>
    </row>
    <row r="4" spans="1:8" ht="43.5">
      <c r="A4" s="1" t="s">
        <v>3</v>
      </c>
      <c r="B4" s="2" t="s">
        <v>4</v>
      </c>
    </row>
    <row r="5" spans="1:8" ht="29.25">
      <c r="A5" s="1" t="s">
        <v>5</v>
      </c>
      <c r="B5" s="2" t="s">
        <v>6</v>
      </c>
    </row>
    <row r="6" spans="1:8" ht="29.25">
      <c r="A6" s="1" t="s">
        <v>7</v>
      </c>
      <c r="B6" s="2" t="s">
        <v>8</v>
      </c>
    </row>
    <row r="7" spans="1:8" ht="29.25">
      <c r="A7" s="1" t="s">
        <v>9</v>
      </c>
      <c r="B7" s="2" t="s">
        <v>10</v>
      </c>
    </row>
    <row r="10" spans="1:8" ht="1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sqref="A1:F1"/>
    </sheetView>
  </sheetViews>
  <sheetFormatPr baseColWidth="10" defaultColWidth="9" defaultRowHeight="14.25"/>
  <cols>
    <col min="1" max="1" width="24" customWidth="1"/>
    <col min="2" max="2" width="36" customWidth="1"/>
    <col min="3" max="4" width="24" customWidth="1"/>
    <col min="5" max="5" width="36" customWidth="1"/>
    <col min="6" max="6" width="24" customWidth="1"/>
  </cols>
  <sheetData>
    <row r="1" spans="1:6" ht="18">
      <c r="A1" s="27" t="s">
        <v>19</v>
      </c>
      <c r="B1" s="26"/>
      <c r="C1" s="26"/>
      <c r="D1" s="26"/>
      <c r="E1" s="26"/>
      <c r="F1" s="26"/>
    </row>
    <row r="3" spans="1:6" ht="15">
      <c r="A3" s="1" t="s">
        <v>20</v>
      </c>
      <c r="B3" s="5">
        <v>46153.55050892361</v>
      </c>
      <c r="D3" s="1" t="s">
        <v>21</v>
      </c>
      <c r="E3" s="4" t="s">
        <v>22</v>
      </c>
    </row>
    <row r="4" spans="1:6" ht="15">
      <c r="A4" s="1" t="s">
        <v>23</v>
      </c>
      <c r="B4" s="4"/>
      <c r="D4" s="1" t="s">
        <v>24</v>
      </c>
      <c r="E4" s="4"/>
    </row>
    <row r="5" spans="1:6" ht="15">
      <c r="A5" s="1" t="s">
        <v>25</v>
      </c>
      <c r="B5" s="4"/>
      <c r="D5" s="1" t="s">
        <v>26</v>
      </c>
      <c r="E5" s="4"/>
    </row>
    <row r="6" spans="1:6" ht="15">
      <c r="A6" s="1" t="s">
        <v>27</v>
      </c>
      <c r="B6" s="4"/>
      <c r="D6" s="1" t="s">
        <v>28</v>
      </c>
      <c r="E6" s="4" t="s">
        <v>29</v>
      </c>
    </row>
    <row r="7" spans="1:6" ht="15">
      <c r="A7" s="1" t="s">
        <v>30</v>
      </c>
      <c r="B7" s="4" t="s">
        <v>31</v>
      </c>
      <c r="D7" s="1" t="s">
        <v>32</v>
      </c>
      <c r="E7" s="4" t="s">
        <v>33</v>
      </c>
    </row>
    <row r="8" spans="1:6" ht="15">
      <c r="A8" s="1" t="s">
        <v>34</v>
      </c>
      <c r="B8" s="4"/>
      <c r="D8" s="1" t="s">
        <v>35</v>
      </c>
      <c r="E8" s="4" t="s">
        <v>36</v>
      </c>
    </row>
    <row r="9" spans="1:6" ht="15">
      <c r="A9" s="1" t="s">
        <v>37</v>
      </c>
      <c r="B9" s="4"/>
      <c r="D9" s="1" t="s">
        <v>38</v>
      </c>
      <c r="E9" s="4"/>
    </row>
    <row r="10" spans="1:6" ht="15">
      <c r="A10" s="1" t="s">
        <v>39</v>
      </c>
      <c r="B10" s="4"/>
      <c r="D10" s="1" t="s">
        <v>40</v>
      </c>
      <c r="E10" s="5"/>
    </row>
    <row r="11" spans="1:6" ht="15">
      <c r="A11" s="1" t="s">
        <v>41</v>
      </c>
      <c r="B11" s="4"/>
      <c r="D11" s="1" t="s">
        <v>42</v>
      </c>
      <c r="E11" s="4" t="s">
        <v>43</v>
      </c>
    </row>
    <row r="12" spans="1:6" ht="15">
      <c r="A12" s="1" t="s">
        <v>44</v>
      </c>
      <c r="B12" s="4"/>
      <c r="D12" s="1" t="s">
        <v>45</v>
      </c>
      <c r="E12" s="4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sqref="A1:F1"/>
    </sheetView>
  </sheetViews>
  <sheetFormatPr baseColWidth="10" defaultColWidth="9" defaultRowHeight="14.25"/>
  <cols>
    <col min="1" max="3" width="22" customWidth="1"/>
    <col min="4" max="4" width="55" customWidth="1"/>
    <col min="5" max="5" width="22" customWidth="1"/>
    <col min="6" max="6" width="38" customWidth="1"/>
  </cols>
  <sheetData>
    <row r="1" spans="1:6" ht="18">
      <c r="A1" s="27" t="s">
        <v>46</v>
      </c>
      <c r="B1" s="26"/>
      <c r="C1" s="26"/>
      <c r="D1" s="26"/>
      <c r="E1" s="26"/>
      <c r="F1" s="26"/>
    </row>
    <row r="3" spans="1:6" ht="15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</row>
    <row r="4" spans="1:6">
      <c r="A4" s="2" t="s">
        <v>53</v>
      </c>
      <c r="B4" s="8">
        <v>18000</v>
      </c>
      <c r="C4" s="2" t="s">
        <v>54</v>
      </c>
      <c r="D4" s="2" t="s">
        <v>55</v>
      </c>
      <c r="E4" s="2" t="s">
        <v>56</v>
      </c>
      <c r="F4" s="2" t="s">
        <v>57</v>
      </c>
    </row>
    <row r="5" spans="1:6">
      <c r="A5" s="2" t="s">
        <v>58</v>
      </c>
      <c r="B5" s="9">
        <v>1</v>
      </c>
      <c r="C5" s="2" t="s">
        <v>59</v>
      </c>
      <c r="D5" s="2" t="s">
        <v>60</v>
      </c>
      <c r="E5" s="2" t="s">
        <v>56</v>
      </c>
      <c r="F5" s="2"/>
    </row>
    <row r="6" spans="1:6" ht="28.5">
      <c r="A6" s="2" t="s">
        <v>61</v>
      </c>
      <c r="B6" s="9">
        <v>1.2</v>
      </c>
      <c r="C6" s="2" t="s">
        <v>59</v>
      </c>
      <c r="D6" s="2" t="s">
        <v>62</v>
      </c>
      <c r="E6" s="2" t="s">
        <v>56</v>
      </c>
      <c r="F6" s="2"/>
    </row>
    <row r="7" spans="1:6" ht="28.5">
      <c r="A7" s="2" t="s">
        <v>63</v>
      </c>
      <c r="B7" s="9">
        <v>1.45</v>
      </c>
      <c r="C7" s="2" t="s">
        <v>59</v>
      </c>
      <c r="D7" s="2" t="s">
        <v>64</v>
      </c>
      <c r="E7" s="2" t="s">
        <v>56</v>
      </c>
      <c r="F7" s="2"/>
    </row>
    <row r="8" spans="1:6">
      <c r="A8" s="2" t="s">
        <v>65</v>
      </c>
      <c r="B8" s="9">
        <v>1</v>
      </c>
      <c r="C8" s="2" t="s">
        <v>59</v>
      </c>
      <c r="D8" s="2" t="s">
        <v>66</v>
      </c>
      <c r="E8" s="2" t="s">
        <v>56</v>
      </c>
      <c r="F8" s="2"/>
    </row>
    <row r="9" spans="1:6">
      <c r="A9" s="2" t="s">
        <v>67</v>
      </c>
      <c r="B9" s="9">
        <v>1.25</v>
      </c>
      <c r="C9" s="2" t="s">
        <v>59</v>
      </c>
      <c r="D9" s="2" t="s">
        <v>68</v>
      </c>
      <c r="E9" s="2" t="s">
        <v>56</v>
      </c>
      <c r="F9" s="2"/>
    </row>
    <row r="10" spans="1:6">
      <c r="A10" s="2" t="s">
        <v>69</v>
      </c>
      <c r="B10" s="9">
        <v>0.12</v>
      </c>
      <c r="C10" s="2" t="s">
        <v>70</v>
      </c>
      <c r="D10" s="2" t="s">
        <v>71</v>
      </c>
      <c r="E10" s="2" t="s">
        <v>56</v>
      </c>
      <c r="F10" s="2" t="s">
        <v>72</v>
      </c>
    </row>
    <row r="11" spans="1:6">
      <c r="A11" s="2" t="s">
        <v>73</v>
      </c>
      <c r="B11" s="10">
        <v>0.25</v>
      </c>
      <c r="C11" s="2" t="s">
        <v>70</v>
      </c>
      <c r="D11" s="2" t="s">
        <v>74</v>
      </c>
      <c r="E11" s="2" t="s">
        <v>56</v>
      </c>
      <c r="F11" s="2"/>
    </row>
    <row r="12" spans="1:6">
      <c r="A12" s="2" t="s">
        <v>75</v>
      </c>
      <c r="B12" s="11">
        <v>0.19</v>
      </c>
      <c r="C12" s="2" t="s">
        <v>70</v>
      </c>
      <c r="D12" s="2" t="s">
        <v>76</v>
      </c>
      <c r="E12" s="2" t="s">
        <v>56</v>
      </c>
      <c r="F12" s="2" t="s">
        <v>77</v>
      </c>
    </row>
    <row r="13" spans="1:6">
      <c r="A13" s="2" t="s">
        <v>78</v>
      </c>
      <c r="B13" s="11" t="s">
        <v>56</v>
      </c>
      <c r="C13" s="2" t="s">
        <v>79</v>
      </c>
      <c r="D13" s="2" t="s">
        <v>80</v>
      </c>
      <c r="E13" s="2" t="s">
        <v>56</v>
      </c>
      <c r="F13" s="2"/>
    </row>
    <row r="14" spans="1:6">
      <c r="A14" s="2" t="s">
        <v>81</v>
      </c>
      <c r="B14" s="9">
        <v>0</v>
      </c>
      <c r="C14" s="2" t="s">
        <v>70</v>
      </c>
      <c r="D14" s="2" t="s">
        <v>82</v>
      </c>
      <c r="E14" s="2" t="s">
        <v>56</v>
      </c>
      <c r="F14" s="2"/>
    </row>
    <row r="15" spans="1:6" ht="28.5">
      <c r="A15" s="2" t="s">
        <v>83</v>
      </c>
      <c r="B15" s="9">
        <v>0.85</v>
      </c>
      <c r="C15" s="2" t="s">
        <v>59</v>
      </c>
      <c r="D15" s="2" t="s">
        <v>84</v>
      </c>
      <c r="E15" s="2" t="s">
        <v>56</v>
      </c>
      <c r="F15" s="2" t="s">
        <v>85</v>
      </c>
    </row>
  </sheetData>
  <mergeCells count="1">
    <mergeCell ref="A1:F1"/>
  </mergeCells>
  <dataValidations count="1">
    <dataValidation type="list" sqref="B11" xr:uid="{00000000-0002-0000-0200-000000000000}">
      <formula1>"Sí,No"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selection sqref="A1:J1"/>
    </sheetView>
  </sheetViews>
  <sheetFormatPr baseColWidth="10" defaultColWidth="9" defaultRowHeight="14.25"/>
  <cols>
    <col min="1" max="1" width="18" customWidth="1"/>
    <col min="2" max="2" width="28" customWidth="1"/>
    <col min="3" max="3" width="48" customWidth="1"/>
    <col min="4" max="6" width="14" customWidth="1"/>
    <col min="7" max="7" width="28" customWidth="1"/>
    <col min="8" max="8" width="24" customWidth="1"/>
    <col min="9" max="9" width="35" customWidth="1"/>
    <col min="10" max="10" width="34" customWidth="1"/>
  </cols>
  <sheetData>
    <row r="1" spans="1:10" ht="18">
      <c r="A1" s="27" t="s">
        <v>86</v>
      </c>
      <c r="B1" s="26"/>
      <c r="C1" s="26"/>
      <c r="D1" s="26"/>
      <c r="E1" s="26"/>
      <c r="F1" s="26"/>
      <c r="G1" s="26"/>
      <c r="H1" s="26"/>
      <c r="I1" s="26"/>
      <c r="J1" s="26"/>
    </row>
    <row r="3" spans="1:10" ht="15">
      <c r="A3" s="7" t="s">
        <v>87</v>
      </c>
      <c r="B3" s="7" t="s">
        <v>88</v>
      </c>
      <c r="C3" s="7" t="s">
        <v>50</v>
      </c>
      <c r="D3" s="7" t="s">
        <v>89</v>
      </c>
      <c r="E3" s="7" t="s">
        <v>90</v>
      </c>
      <c r="F3" s="7" t="s">
        <v>91</v>
      </c>
      <c r="G3" s="7" t="s">
        <v>92</v>
      </c>
      <c r="H3" s="7" t="s">
        <v>93</v>
      </c>
      <c r="I3" s="7" t="s">
        <v>52</v>
      </c>
      <c r="J3" s="7" t="s">
        <v>94</v>
      </c>
    </row>
    <row r="4" spans="1:10" ht="28.5">
      <c r="A4" s="2" t="s">
        <v>95</v>
      </c>
      <c r="B4" s="2" t="s">
        <v>96</v>
      </c>
      <c r="C4" s="2" t="s">
        <v>97</v>
      </c>
      <c r="D4" s="12">
        <v>3</v>
      </c>
      <c r="E4" s="12">
        <v>5</v>
      </c>
      <c r="F4" s="12">
        <v>8</v>
      </c>
      <c r="G4" s="2" t="s">
        <v>98</v>
      </c>
      <c r="H4" s="2" t="s">
        <v>99</v>
      </c>
      <c r="I4" s="2" t="s">
        <v>100</v>
      </c>
      <c r="J4" s="2"/>
    </row>
    <row r="5" spans="1:10" ht="28.5">
      <c r="A5" s="2" t="s">
        <v>95</v>
      </c>
      <c r="B5" s="2" t="s">
        <v>101</v>
      </c>
      <c r="C5" s="2" t="s">
        <v>102</v>
      </c>
      <c r="D5" s="12">
        <v>3</v>
      </c>
      <c r="E5" s="12">
        <v>6</v>
      </c>
      <c r="F5" s="12">
        <v>10</v>
      </c>
      <c r="G5" s="2" t="s">
        <v>103</v>
      </c>
      <c r="H5" s="2" t="s">
        <v>99</v>
      </c>
      <c r="I5" s="2" t="s">
        <v>104</v>
      </c>
      <c r="J5" s="2"/>
    </row>
    <row r="6" spans="1:10">
      <c r="A6" s="2" t="s">
        <v>105</v>
      </c>
      <c r="B6" s="2" t="s">
        <v>106</v>
      </c>
      <c r="C6" s="2" t="s">
        <v>107</v>
      </c>
      <c r="D6" s="12">
        <v>4</v>
      </c>
      <c r="E6" s="12">
        <v>8</v>
      </c>
      <c r="F6" s="12">
        <v>14</v>
      </c>
      <c r="G6" s="2" t="s">
        <v>108</v>
      </c>
      <c r="H6" s="2" t="s">
        <v>99</v>
      </c>
      <c r="I6" s="2" t="s">
        <v>109</v>
      </c>
      <c r="J6" s="2"/>
    </row>
    <row r="7" spans="1:10">
      <c r="A7" s="2" t="s">
        <v>105</v>
      </c>
      <c r="B7" s="2" t="s">
        <v>110</v>
      </c>
      <c r="C7" s="2" t="s">
        <v>111</v>
      </c>
      <c r="D7" s="12">
        <v>5</v>
      </c>
      <c r="E7" s="12">
        <v>10</v>
      </c>
      <c r="F7" s="12">
        <v>18</v>
      </c>
      <c r="G7" s="2" t="s">
        <v>112</v>
      </c>
      <c r="H7" s="2" t="s">
        <v>99</v>
      </c>
      <c r="I7" s="2" t="s">
        <v>113</v>
      </c>
      <c r="J7" s="2"/>
    </row>
    <row r="8" spans="1:10" ht="28.5">
      <c r="A8" s="2" t="s">
        <v>105</v>
      </c>
      <c r="B8" s="2" t="s">
        <v>114</v>
      </c>
      <c r="C8" s="2" t="s">
        <v>115</v>
      </c>
      <c r="D8" s="12">
        <v>2</v>
      </c>
      <c r="E8" s="12">
        <v>4</v>
      </c>
      <c r="F8" s="12">
        <v>7</v>
      </c>
      <c r="G8" s="2" t="s">
        <v>116</v>
      </c>
      <c r="H8" s="2" t="s">
        <v>99</v>
      </c>
      <c r="I8" s="2" t="s">
        <v>117</v>
      </c>
      <c r="J8" s="2"/>
    </row>
    <row r="9" spans="1:10">
      <c r="A9" s="2" t="s">
        <v>118</v>
      </c>
      <c r="B9" s="2" t="s">
        <v>119</v>
      </c>
      <c r="C9" s="2" t="s">
        <v>120</v>
      </c>
      <c r="D9" s="12">
        <v>8</v>
      </c>
      <c r="E9" s="12">
        <v>16</v>
      </c>
      <c r="F9" s="12">
        <v>30</v>
      </c>
      <c r="G9" s="2" t="s">
        <v>121</v>
      </c>
      <c r="H9" s="2" t="s">
        <v>99</v>
      </c>
      <c r="I9" s="2" t="s">
        <v>122</v>
      </c>
      <c r="J9" s="2"/>
    </row>
    <row r="10" spans="1:10">
      <c r="A10" s="2" t="s">
        <v>118</v>
      </c>
      <c r="B10" s="2" t="s">
        <v>123</v>
      </c>
      <c r="C10" s="2" t="s">
        <v>124</v>
      </c>
      <c r="D10" s="12">
        <v>3</v>
      </c>
      <c r="E10" s="12">
        <v>7</v>
      </c>
      <c r="F10" s="12">
        <v>14</v>
      </c>
      <c r="G10" s="2" t="s">
        <v>125</v>
      </c>
      <c r="H10" s="2" t="s">
        <v>99</v>
      </c>
      <c r="I10" s="2" t="s">
        <v>126</v>
      </c>
      <c r="J10" s="2"/>
    </row>
    <row r="11" spans="1:10">
      <c r="A11" s="2" t="s">
        <v>127</v>
      </c>
      <c r="B11" s="2" t="s">
        <v>128</v>
      </c>
      <c r="C11" s="2" t="s">
        <v>129</v>
      </c>
      <c r="D11" s="12">
        <v>2</v>
      </c>
      <c r="E11" s="12">
        <v>5</v>
      </c>
      <c r="F11" s="12">
        <v>10</v>
      </c>
      <c r="G11" s="2" t="s">
        <v>130</v>
      </c>
      <c r="H11" s="2" t="s">
        <v>99</v>
      </c>
      <c r="I11" s="2" t="s">
        <v>131</v>
      </c>
      <c r="J11" s="2"/>
    </row>
    <row r="12" spans="1:10" ht="28.5">
      <c r="A12" s="2" t="s">
        <v>132</v>
      </c>
      <c r="B12" s="2" t="s">
        <v>133</v>
      </c>
      <c r="C12" s="2" t="s">
        <v>134</v>
      </c>
      <c r="D12" s="12">
        <v>4</v>
      </c>
      <c r="E12" s="12">
        <v>8</v>
      </c>
      <c r="F12" s="12">
        <v>14</v>
      </c>
      <c r="G12" s="2" t="s">
        <v>135</v>
      </c>
      <c r="H12" s="2" t="s">
        <v>99</v>
      </c>
      <c r="I12" s="2" t="s">
        <v>136</v>
      </c>
      <c r="J12" s="2"/>
    </row>
    <row r="13" spans="1:10" ht="28.5">
      <c r="A13" s="2" t="s">
        <v>137</v>
      </c>
      <c r="B13" s="2" t="s">
        <v>138</v>
      </c>
      <c r="C13" s="2" t="s">
        <v>139</v>
      </c>
      <c r="D13" s="12">
        <v>2</v>
      </c>
      <c r="E13" s="12">
        <v>4</v>
      </c>
      <c r="F13" s="12">
        <v>8</v>
      </c>
      <c r="G13" s="2" t="s">
        <v>138</v>
      </c>
      <c r="H13" s="2" t="s">
        <v>140</v>
      </c>
      <c r="I13" s="2" t="s">
        <v>141</v>
      </c>
      <c r="J13" s="2"/>
    </row>
    <row r="14" spans="1:10">
      <c r="A14" s="2" t="s">
        <v>142</v>
      </c>
      <c r="B14" s="2" t="s">
        <v>143</v>
      </c>
      <c r="C14" s="2" t="s">
        <v>144</v>
      </c>
      <c r="D14" s="12">
        <v>3</v>
      </c>
      <c r="E14" s="12">
        <v>6</v>
      </c>
      <c r="F14" s="12">
        <v>10</v>
      </c>
      <c r="G14" s="2" t="s">
        <v>145</v>
      </c>
      <c r="H14" s="2" t="s">
        <v>99</v>
      </c>
      <c r="I14" s="2" t="s">
        <v>146</v>
      </c>
      <c r="J14" s="2"/>
    </row>
    <row r="15" spans="1:10">
      <c r="A15" s="2" t="s">
        <v>142</v>
      </c>
      <c r="B15" s="2" t="s">
        <v>147</v>
      </c>
      <c r="C15" s="2" t="s">
        <v>148</v>
      </c>
      <c r="D15" s="12">
        <v>6</v>
      </c>
      <c r="E15" s="12">
        <v>12</v>
      </c>
      <c r="F15" s="12">
        <v>22</v>
      </c>
      <c r="G15" s="2" t="s">
        <v>147</v>
      </c>
      <c r="H15" s="2" t="s">
        <v>149</v>
      </c>
      <c r="I15" s="2" t="s">
        <v>150</v>
      </c>
      <c r="J15" s="2"/>
    </row>
    <row r="16" spans="1:10">
      <c r="A16" s="2" t="s">
        <v>151</v>
      </c>
      <c r="B16" s="2" t="s">
        <v>152</v>
      </c>
      <c r="C16" s="2" t="s">
        <v>153</v>
      </c>
      <c r="D16" s="12">
        <v>1</v>
      </c>
      <c r="E16" s="12">
        <v>2</v>
      </c>
      <c r="F16" s="12">
        <v>4</v>
      </c>
      <c r="G16" s="2" t="s">
        <v>154</v>
      </c>
      <c r="H16" s="2" t="s">
        <v>99</v>
      </c>
      <c r="I16" s="2" t="s">
        <v>155</v>
      </c>
      <c r="J16" s="2"/>
    </row>
    <row r="17" spans="1:10">
      <c r="A17" s="2" t="s">
        <v>156</v>
      </c>
      <c r="B17" s="2" t="s">
        <v>157</v>
      </c>
      <c r="C17" s="2" t="s">
        <v>158</v>
      </c>
      <c r="D17" s="12">
        <v>10</v>
      </c>
      <c r="E17" s="12">
        <v>22</v>
      </c>
      <c r="F17" s="12">
        <v>45</v>
      </c>
      <c r="G17" s="2" t="s">
        <v>159</v>
      </c>
      <c r="H17" s="2" t="s">
        <v>160</v>
      </c>
      <c r="I17" s="2" t="s">
        <v>161</v>
      </c>
      <c r="J17" s="2"/>
    </row>
    <row r="18" spans="1:10">
      <c r="A18" s="2" t="s">
        <v>156</v>
      </c>
      <c r="B18" s="2" t="s">
        <v>162</v>
      </c>
      <c r="C18" s="2" t="s">
        <v>163</v>
      </c>
      <c r="D18" s="12">
        <v>10</v>
      </c>
      <c r="E18" s="12">
        <v>22</v>
      </c>
      <c r="F18" s="12">
        <v>45</v>
      </c>
      <c r="G18" s="2" t="s">
        <v>164</v>
      </c>
      <c r="H18" s="2" t="s">
        <v>156</v>
      </c>
      <c r="I18" s="2" t="s">
        <v>165</v>
      </c>
      <c r="J18" s="2"/>
    </row>
    <row r="19" spans="1:10">
      <c r="A19" s="2" t="s">
        <v>156</v>
      </c>
      <c r="B19" s="2" t="s">
        <v>166</v>
      </c>
      <c r="C19" s="2" t="s">
        <v>167</v>
      </c>
      <c r="D19" s="12">
        <v>8</v>
      </c>
      <c r="E19" s="12">
        <v>16</v>
      </c>
      <c r="F19" s="12">
        <v>30</v>
      </c>
      <c r="G19" s="2" t="s">
        <v>168</v>
      </c>
      <c r="H19" s="2" t="s">
        <v>156</v>
      </c>
      <c r="I19" s="2" t="s">
        <v>169</v>
      </c>
      <c r="J19" s="2" t="s">
        <v>170</v>
      </c>
    </row>
    <row r="20" spans="1:10" ht="28.5">
      <c r="A20" s="2" t="s">
        <v>156</v>
      </c>
      <c r="B20" s="2" t="s">
        <v>171</v>
      </c>
      <c r="C20" s="2" t="s">
        <v>172</v>
      </c>
      <c r="D20" s="12">
        <v>4</v>
      </c>
      <c r="E20" s="12">
        <v>10</v>
      </c>
      <c r="F20" s="12">
        <v>20</v>
      </c>
      <c r="G20" s="2" t="s">
        <v>173</v>
      </c>
      <c r="H20" s="2" t="s">
        <v>156</v>
      </c>
      <c r="I20" s="2" t="s">
        <v>174</v>
      </c>
      <c r="J20" s="2"/>
    </row>
    <row r="21" spans="1:10">
      <c r="A21" s="2" t="s">
        <v>156</v>
      </c>
      <c r="B21" s="2" t="s">
        <v>175</v>
      </c>
      <c r="C21" s="2" t="s">
        <v>176</v>
      </c>
      <c r="D21" s="12">
        <v>6</v>
      </c>
      <c r="E21" s="12">
        <v>14</v>
      </c>
      <c r="F21" s="12">
        <v>28</v>
      </c>
      <c r="G21" s="2" t="s">
        <v>177</v>
      </c>
      <c r="H21" s="2" t="s">
        <v>156</v>
      </c>
      <c r="I21" s="2" t="s">
        <v>178</v>
      </c>
      <c r="J21" s="2"/>
    </row>
    <row r="22" spans="1:10">
      <c r="A22" s="2" t="s">
        <v>179</v>
      </c>
      <c r="B22" s="2" t="s">
        <v>180</v>
      </c>
      <c r="C22" s="2" t="s">
        <v>181</v>
      </c>
      <c r="D22" s="12">
        <v>8</v>
      </c>
      <c r="E22" s="12">
        <v>18</v>
      </c>
      <c r="F22" s="12">
        <v>35</v>
      </c>
      <c r="G22" s="2" t="s">
        <v>182</v>
      </c>
      <c r="H22" s="2" t="s">
        <v>183</v>
      </c>
      <c r="I22" s="2" t="s">
        <v>184</v>
      </c>
      <c r="J22" s="2"/>
    </row>
    <row r="23" spans="1:10">
      <c r="A23" s="2" t="s">
        <v>151</v>
      </c>
      <c r="B23" s="2" t="s">
        <v>185</v>
      </c>
      <c r="C23" s="2" t="s">
        <v>186</v>
      </c>
      <c r="D23" s="12">
        <v>3</v>
      </c>
      <c r="E23" s="12">
        <v>6</v>
      </c>
      <c r="F23" s="12">
        <v>12</v>
      </c>
      <c r="G23" s="2" t="s">
        <v>187</v>
      </c>
      <c r="H23" s="2" t="s">
        <v>99</v>
      </c>
      <c r="I23" s="2" t="s">
        <v>188</v>
      </c>
      <c r="J23" s="2"/>
    </row>
    <row r="24" spans="1:10" ht="28.5">
      <c r="A24" s="2" t="s">
        <v>189</v>
      </c>
      <c r="B24" s="2" t="s">
        <v>190</v>
      </c>
      <c r="C24" s="2" t="s">
        <v>191</v>
      </c>
      <c r="D24" s="12">
        <v>5</v>
      </c>
      <c r="E24" s="12">
        <v>10</v>
      </c>
      <c r="F24" s="12">
        <v>20</v>
      </c>
      <c r="G24" s="2" t="s">
        <v>192</v>
      </c>
      <c r="H24" s="2" t="s">
        <v>99</v>
      </c>
      <c r="I24" s="2" t="s">
        <v>100</v>
      </c>
      <c r="J24" s="2"/>
    </row>
    <row r="25" spans="1:10" ht="28.5">
      <c r="A25" s="2" t="s">
        <v>193</v>
      </c>
      <c r="B25" s="2" t="s">
        <v>194</v>
      </c>
      <c r="C25" s="2" t="s">
        <v>195</v>
      </c>
      <c r="D25" s="12">
        <v>4</v>
      </c>
      <c r="E25" s="12">
        <v>8</v>
      </c>
      <c r="F25" s="12">
        <v>16</v>
      </c>
      <c r="G25" s="2" t="s">
        <v>196</v>
      </c>
      <c r="H25" s="2" t="s">
        <v>99</v>
      </c>
      <c r="I25" s="2" t="s">
        <v>197</v>
      </c>
      <c r="J25" s="2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workbookViewId="0">
      <selection sqref="A1:M1"/>
    </sheetView>
  </sheetViews>
  <sheetFormatPr baseColWidth="10" defaultColWidth="9" defaultRowHeight="14.25"/>
  <cols>
    <col min="1" max="1" width="12" customWidth="1"/>
    <col min="2" max="2" width="16" customWidth="1"/>
    <col min="3" max="3" width="30" customWidth="1"/>
    <col min="4" max="4" width="10" customWidth="1"/>
    <col min="5" max="6" width="14" customWidth="1"/>
    <col min="7" max="7" width="12" customWidth="1"/>
    <col min="8" max="8" width="13" customWidth="1"/>
    <col min="9" max="9" width="15" customWidth="1"/>
    <col min="10" max="10" width="16" customWidth="1"/>
    <col min="11" max="11" width="34" customWidth="1"/>
    <col min="12" max="12" width="24" customWidth="1"/>
    <col min="13" max="13" width="12" customWidth="1"/>
  </cols>
  <sheetData>
    <row r="1" spans="1:13" ht="18">
      <c r="A1" s="27" t="s">
        <v>198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spans="1:13" ht="30">
      <c r="A3" s="7" t="s">
        <v>199</v>
      </c>
      <c r="B3" s="7" t="s">
        <v>87</v>
      </c>
      <c r="C3" s="7" t="s">
        <v>200</v>
      </c>
      <c r="D3" s="7" t="s">
        <v>201</v>
      </c>
      <c r="E3" s="7" t="s">
        <v>202</v>
      </c>
      <c r="F3" s="7" t="s">
        <v>203</v>
      </c>
      <c r="G3" s="7" t="s">
        <v>204</v>
      </c>
      <c r="H3" s="7" t="s">
        <v>205</v>
      </c>
      <c r="I3" s="7" t="s">
        <v>206</v>
      </c>
      <c r="J3" s="7" t="s">
        <v>207</v>
      </c>
      <c r="K3" s="7" t="s">
        <v>208</v>
      </c>
      <c r="L3" s="7" t="s">
        <v>92</v>
      </c>
      <c r="M3" s="7" t="s">
        <v>42</v>
      </c>
    </row>
    <row r="4" spans="1:13">
      <c r="A4" s="10" t="s">
        <v>56</v>
      </c>
      <c r="B4" s="2" t="s">
        <v>95</v>
      </c>
      <c r="C4" s="2" t="s">
        <v>96</v>
      </c>
      <c r="D4" s="10">
        <v>1</v>
      </c>
      <c r="E4" s="10" t="s">
        <v>43</v>
      </c>
      <c r="F4" s="15">
        <f>IFERROR(INDEX(Catalogo_Modulos!$D$4:$F$25,MATCH(C4,Catalogo_Modulos!$B$4:$B$25,0),MATCH(E4,{"Baja","Media","Alta"},0)),0)</f>
        <v>5</v>
      </c>
      <c r="G4" s="15">
        <f t="shared" ref="G4:G25" si="0">IF(A4="Sí",D4*F4,0)</f>
        <v>5</v>
      </c>
      <c r="H4" s="15">
        <f>Configuracion!$B$15</f>
        <v>0.85</v>
      </c>
      <c r="I4" s="15">
        <f t="shared" ref="I4:I25" si="1">G4*H4</f>
        <v>4.25</v>
      </c>
      <c r="J4" s="16">
        <f>I4*Configuracion!$B$4</f>
        <v>76500</v>
      </c>
      <c r="K4" s="2" t="s">
        <v>209</v>
      </c>
      <c r="L4" s="2" t="s">
        <v>210</v>
      </c>
      <c r="M4" s="2" t="s">
        <v>211</v>
      </c>
    </row>
    <row r="5" spans="1:13">
      <c r="A5" s="10" t="s">
        <v>56</v>
      </c>
      <c r="B5" s="2" t="s">
        <v>95</v>
      </c>
      <c r="C5" s="2" t="s">
        <v>101</v>
      </c>
      <c r="D5" s="10">
        <v>1</v>
      </c>
      <c r="E5" s="10" t="s">
        <v>43</v>
      </c>
      <c r="F5" s="15">
        <f>IFERROR(INDEX(Catalogo_Modulos!$D$4:$F$25,MATCH(C5,Catalogo_Modulos!$B$4:$B$25,0),MATCH(E5,{"Baja","Media","Alta"},0)),0)</f>
        <v>6</v>
      </c>
      <c r="G5" s="15">
        <f t="shared" si="0"/>
        <v>6</v>
      </c>
      <c r="H5" s="15">
        <f>Configuracion!$B$15</f>
        <v>0.85</v>
      </c>
      <c r="I5" s="15">
        <f t="shared" si="1"/>
        <v>5.0999999999999996</v>
      </c>
      <c r="J5" s="16">
        <f>I5*Configuracion!$B$4</f>
        <v>91800</v>
      </c>
      <c r="K5" s="2" t="s">
        <v>212</v>
      </c>
      <c r="L5" s="2" t="s">
        <v>213</v>
      </c>
      <c r="M5" s="2" t="s">
        <v>211</v>
      </c>
    </row>
    <row r="6" spans="1:13">
      <c r="A6" s="10" t="s">
        <v>56</v>
      </c>
      <c r="B6" s="2" t="s">
        <v>105</v>
      </c>
      <c r="C6" s="2" t="s">
        <v>106</v>
      </c>
      <c r="D6" s="10">
        <v>1</v>
      </c>
      <c r="E6" s="10" t="s">
        <v>43</v>
      </c>
      <c r="F6" s="15">
        <f>IFERROR(INDEX(Catalogo_Modulos!$D$4:$F$25,MATCH(C6,Catalogo_Modulos!$B$4:$B$25,0),MATCH(E6,{"Baja","Media","Alta"},0)),0)</f>
        <v>8</v>
      </c>
      <c r="G6" s="15">
        <f t="shared" si="0"/>
        <v>8</v>
      </c>
      <c r="H6" s="15">
        <f>Configuracion!$B$15</f>
        <v>0.85</v>
      </c>
      <c r="I6" s="15">
        <f t="shared" si="1"/>
        <v>6.8</v>
      </c>
      <c r="J6" s="16">
        <f>I6*Configuracion!$B$4</f>
        <v>122400</v>
      </c>
      <c r="K6" s="2" t="s">
        <v>214</v>
      </c>
      <c r="L6" s="2" t="s">
        <v>108</v>
      </c>
      <c r="M6" s="2" t="s">
        <v>211</v>
      </c>
    </row>
    <row r="7" spans="1:13">
      <c r="A7" s="10" t="s">
        <v>56</v>
      </c>
      <c r="B7" s="2" t="s">
        <v>105</v>
      </c>
      <c r="C7" s="2" t="s">
        <v>110</v>
      </c>
      <c r="D7" s="10">
        <v>1</v>
      </c>
      <c r="E7" s="10" t="s">
        <v>43</v>
      </c>
      <c r="F7" s="15">
        <f>IFERROR(INDEX(Catalogo_Modulos!$D$4:$F$25,MATCH(C7,Catalogo_Modulos!$B$4:$B$25,0),MATCH(E7,{"Baja","Media","Alta"},0)),0)</f>
        <v>10</v>
      </c>
      <c r="G7" s="15">
        <f t="shared" si="0"/>
        <v>10</v>
      </c>
      <c r="H7" s="15">
        <f>Configuracion!$B$15</f>
        <v>0.85</v>
      </c>
      <c r="I7" s="15">
        <f t="shared" si="1"/>
        <v>8.5</v>
      </c>
      <c r="J7" s="16">
        <f>I7*Configuracion!$B$4</f>
        <v>153000</v>
      </c>
      <c r="K7" s="2" t="s">
        <v>215</v>
      </c>
      <c r="L7" s="2" t="s">
        <v>216</v>
      </c>
      <c r="M7" s="2" t="s">
        <v>211</v>
      </c>
    </row>
    <row r="8" spans="1:13">
      <c r="A8" s="10" t="s">
        <v>56</v>
      </c>
      <c r="B8" s="2" t="s">
        <v>105</v>
      </c>
      <c r="C8" s="2" t="s">
        <v>114</v>
      </c>
      <c r="D8" s="10">
        <v>5</v>
      </c>
      <c r="E8" s="10" t="s">
        <v>43</v>
      </c>
      <c r="F8" s="15">
        <f>IFERROR(INDEX(Catalogo_Modulos!$D$4:$F$25,MATCH(C8,Catalogo_Modulos!$B$4:$B$25,0),MATCH(E8,{"Baja","Media","Alta"},0)),0)</f>
        <v>4</v>
      </c>
      <c r="G8" s="15">
        <f t="shared" si="0"/>
        <v>20</v>
      </c>
      <c r="H8" s="15">
        <f>Configuracion!$B$15</f>
        <v>0.85</v>
      </c>
      <c r="I8" s="15">
        <f t="shared" si="1"/>
        <v>17</v>
      </c>
      <c r="J8" s="16">
        <f>I8*Configuracion!$B$4</f>
        <v>306000</v>
      </c>
      <c r="K8" s="2" t="s">
        <v>217</v>
      </c>
      <c r="L8" s="2" t="s">
        <v>218</v>
      </c>
      <c r="M8" s="2" t="s">
        <v>43</v>
      </c>
    </row>
    <row r="9" spans="1:13">
      <c r="A9" s="10" t="s">
        <v>56</v>
      </c>
      <c r="B9" s="2" t="s">
        <v>118</v>
      </c>
      <c r="C9" s="2" t="s">
        <v>119</v>
      </c>
      <c r="D9" s="10">
        <v>1</v>
      </c>
      <c r="E9" s="10" t="s">
        <v>43</v>
      </c>
      <c r="F9" s="15">
        <f>IFERROR(INDEX(Catalogo_Modulos!$D$4:$F$25,MATCH(C9,Catalogo_Modulos!$B$4:$B$25,0),MATCH(E9,{"Baja","Media","Alta"},0)),0)</f>
        <v>16</v>
      </c>
      <c r="G9" s="15">
        <f t="shared" si="0"/>
        <v>16</v>
      </c>
      <c r="H9" s="15">
        <f>Configuracion!$B$15</f>
        <v>0.85</v>
      </c>
      <c r="I9" s="15">
        <f t="shared" si="1"/>
        <v>13.6</v>
      </c>
      <c r="J9" s="16">
        <f>I9*Configuracion!$B$4</f>
        <v>244800</v>
      </c>
      <c r="K9" s="2" t="s">
        <v>219</v>
      </c>
      <c r="L9" s="2" t="s">
        <v>118</v>
      </c>
      <c r="M9" s="2" t="s">
        <v>211</v>
      </c>
    </row>
    <row r="10" spans="1:13">
      <c r="A10" s="10" t="s">
        <v>220</v>
      </c>
      <c r="B10" s="2" t="s">
        <v>118</v>
      </c>
      <c r="C10" s="2" t="s">
        <v>123</v>
      </c>
      <c r="D10" s="10">
        <v>1</v>
      </c>
      <c r="E10" s="10" t="s">
        <v>43</v>
      </c>
      <c r="F10" s="15">
        <f>IFERROR(INDEX(Catalogo_Modulos!$D$4:$F$25,MATCH(C10,Catalogo_Modulos!$B$4:$B$25,0),MATCH(E10,{"Baja","Media","Alta"},0)),0)</f>
        <v>7</v>
      </c>
      <c r="G10" s="15">
        <f t="shared" si="0"/>
        <v>0</v>
      </c>
      <c r="H10" s="15">
        <f>Configuracion!$B$15</f>
        <v>0.85</v>
      </c>
      <c r="I10" s="15">
        <f t="shared" si="1"/>
        <v>0</v>
      </c>
      <c r="J10" s="16">
        <f>I10*Configuracion!$B$4</f>
        <v>0</v>
      </c>
      <c r="K10" s="2" t="s">
        <v>221</v>
      </c>
      <c r="L10" s="2" t="s">
        <v>125</v>
      </c>
      <c r="M10" s="2" t="s">
        <v>43</v>
      </c>
    </row>
    <row r="11" spans="1:13">
      <c r="A11" s="10" t="s">
        <v>56</v>
      </c>
      <c r="B11" s="2" t="s">
        <v>127</v>
      </c>
      <c r="C11" s="2" t="s">
        <v>128</v>
      </c>
      <c r="D11" s="10">
        <v>1</v>
      </c>
      <c r="E11" s="10" t="s">
        <v>43</v>
      </c>
      <c r="F11" s="15">
        <f>IFERROR(INDEX(Catalogo_Modulos!$D$4:$F$25,MATCH(C11,Catalogo_Modulos!$B$4:$B$25,0),MATCH(E11,{"Baja","Media","Alta"},0)),0)</f>
        <v>5</v>
      </c>
      <c r="G11" s="15">
        <f t="shared" si="0"/>
        <v>5</v>
      </c>
      <c r="H11" s="15">
        <f>Configuracion!$B$15</f>
        <v>0.85</v>
      </c>
      <c r="I11" s="15">
        <f t="shared" si="1"/>
        <v>4.25</v>
      </c>
      <c r="J11" s="16">
        <f>I11*Configuracion!$B$4</f>
        <v>76500</v>
      </c>
      <c r="K11" s="2" t="s">
        <v>222</v>
      </c>
      <c r="L11" s="2" t="s">
        <v>127</v>
      </c>
      <c r="M11" s="2" t="s">
        <v>211</v>
      </c>
    </row>
    <row r="12" spans="1:13">
      <c r="A12" s="10" t="s">
        <v>56</v>
      </c>
      <c r="B12" s="2" t="s">
        <v>132</v>
      </c>
      <c r="C12" s="2" t="s">
        <v>133</v>
      </c>
      <c r="D12" s="10">
        <v>1</v>
      </c>
      <c r="E12" s="10" t="s">
        <v>43</v>
      </c>
      <c r="F12" s="15">
        <f>IFERROR(INDEX(Catalogo_Modulos!$D$4:$F$25,MATCH(C12,Catalogo_Modulos!$B$4:$B$25,0),MATCH(E12,{"Baja","Media","Alta"},0)),0)</f>
        <v>8</v>
      </c>
      <c r="G12" s="15">
        <f t="shared" si="0"/>
        <v>8</v>
      </c>
      <c r="H12" s="15">
        <f>Configuracion!$B$15</f>
        <v>0.85</v>
      </c>
      <c r="I12" s="15">
        <f t="shared" si="1"/>
        <v>6.8</v>
      </c>
      <c r="J12" s="16">
        <f>I12*Configuracion!$B$4</f>
        <v>122400</v>
      </c>
      <c r="K12" s="2" t="s">
        <v>223</v>
      </c>
      <c r="L12" s="2" t="s">
        <v>135</v>
      </c>
      <c r="M12" s="2" t="s">
        <v>211</v>
      </c>
    </row>
    <row r="13" spans="1:13">
      <c r="A13" s="10" t="s">
        <v>56</v>
      </c>
      <c r="B13" s="2" t="s">
        <v>137</v>
      </c>
      <c r="C13" s="2" t="s">
        <v>138</v>
      </c>
      <c r="D13" s="10">
        <v>1</v>
      </c>
      <c r="E13" s="10" t="s">
        <v>43</v>
      </c>
      <c r="F13" s="15">
        <f>IFERROR(INDEX(Catalogo_Modulos!$D$4:$F$25,MATCH(C13,Catalogo_Modulos!$B$4:$B$25,0),MATCH(E13,{"Baja","Media","Alta"},0)),0)</f>
        <v>4</v>
      </c>
      <c r="G13" s="15">
        <f t="shared" si="0"/>
        <v>4</v>
      </c>
      <c r="H13" s="15">
        <f>Configuracion!$B$15</f>
        <v>0.85</v>
      </c>
      <c r="I13" s="15">
        <f t="shared" si="1"/>
        <v>3.4</v>
      </c>
      <c r="J13" s="16">
        <f>I13*Configuracion!$B$4</f>
        <v>61200</v>
      </c>
      <c r="K13" s="2" t="s">
        <v>224</v>
      </c>
      <c r="L13" s="2" t="s">
        <v>138</v>
      </c>
      <c r="M13" s="2" t="s">
        <v>211</v>
      </c>
    </row>
    <row r="14" spans="1:13">
      <c r="A14" s="10" t="s">
        <v>56</v>
      </c>
      <c r="B14" s="2" t="s">
        <v>142</v>
      </c>
      <c r="C14" s="2" t="s">
        <v>143</v>
      </c>
      <c r="D14" s="10">
        <v>1</v>
      </c>
      <c r="E14" s="10" t="s">
        <v>43</v>
      </c>
      <c r="F14" s="15">
        <f>IFERROR(INDEX(Catalogo_Modulos!$D$4:$F$25,MATCH(C14,Catalogo_Modulos!$B$4:$B$25,0),MATCH(E14,{"Baja","Media","Alta"},0)),0)</f>
        <v>6</v>
      </c>
      <c r="G14" s="15">
        <f t="shared" si="0"/>
        <v>6</v>
      </c>
      <c r="H14" s="15">
        <f>Configuracion!$B$15</f>
        <v>0.85</v>
      </c>
      <c r="I14" s="15">
        <f t="shared" si="1"/>
        <v>5.0999999999999996</v>
      </c>
      <c r="J14" s="16">
        <f>I14*Configuracion!$B$4</f>
        <v>91800</v>
      </c>
      <c r="K14" s="2" t="s">
        <v>225</v>
      </c>
      <c r="L14" s="2" t="s">
        <v>142</v>
      </c>
      <c r="M14" s="2" t="s">
        <v>211</v>
      </c>
    </row>
    <row r="15" spans="1:13">
      <c r="A15" s="10" t="s">
        <v>220</v>
      </c>
      <c r="B15" s="2" t="s">
        <v>142</v>
      </c>
      <c r="C15" s="2" t="s">
        <v>147</v>
      </c>
      <c r="D15" s="10">
        <v>0</v>
      </c>
      <c r="E15" s="10" t="s">
        <v>43</v>
      </c>
      <c r="F15" s="15">
        <f>IFERROR(INDEX(Catalogo_Modulos!$D$4:$F$25,MATCH(C15,Catalogo_Modulos!$B$4:$B$25,0),MATCH(E15,{"Baja","Media","Alta"},0)),0)</f>
        <v>12</v>
      </c>
      <c r="G15" s="15">
        <f t="shared" si="0"/>
        <v>0</v>
      </c>
      <c r="H15" s="15">
        <f>Configuracion!$B$15</f>
        <v>0.85</v>
      </c>
      <c r="I15" s="15">
        <f t="shared" si="1"/>
        <v>0</v>
      </c>
      <c r="J15" s="16">
        <f>I15*Configuracion!$B$4</f>
        <v>0</v>
      </c>
      <c r="K15" s="2" t="s">
        <v>226</v>
      </c>
      <c r="L15" s="2" t="s">
        <v>147</v>
      </c>
      <c r="M15" s="2" t="s">
        <v>43</v>
      </c>
    </row>
    <row r="16" spans="1:13">
      <c r="A16" s="10" t="s">
        <v>56</v>
      </c>
      <c r="B16" s="2" t="s">
        <v>151</v>
      </c>
      <c r="C16" s="2" t="s">
        <v>152</v>
      </c>
      <c r="D16" s="10">
        <v>1</v>
      </c>
      <c r="E16" s="10" t="s">
        <v>227</v>
      </c>
      <c r="F16" s="15">
        <f>IFERROR(INDEX(Catalogo_Modulos!$D$4:$F$25,MATCH(C16,Catalogo_Modulos!$B$4:$B$25,0),MATCH(E16,{"Baja","Media","Alta"},0)),0)</f>
        <v>1</v>
      </c>
      <c r="G16" s="15">
        <f t="shared" si="0"/>
        <v>1</v>
      </c>
      <c r="H16" s="15">
        <f>Configuracion!$B$15</f>
        <v>0.85</v>
      </c>
      <c r="I16" s="15">
        <f t="shared" si="1"/>
        <v>0.85</v>
      </c>
      <c r="J16" s="16">
        <f>I16*Configuracion!$B$4</f>
        <v>15300</v>
      </c>
      <c r="K16" s="2" t="s">
        <v>228</v>
      </c>
      <c r="L16" s="2" t="s">
        <v>229</v>
      </c>
      <c r="M16" s="2" t="s">
        <v>211</v>
      </c>
    </row>
    <row r="17" spans="1:13">
      <c r="A17" s="10" t="s">
        <v>220</v>
      </c>
      <c r="B17" s="2" t="s">
        <v>156</v>
      </c>
      <c r="C17" s="2" t="s">
        <v>157</v>
      </c>
      <c r="D17" s="10">
        <v>0</v>
      </c>
      <c r="E17" s="10" t="s">
        <v>43</v>
      </c>
      <c r="F17" s="15">
        <f>IFERROR(INDEX(Catalogo_Modulos!$D$4:$F$25,MATCH(C17,Catalogo_Modulos!$B$4:$B$25,0),MATCH(E17,{"Baja","Media","Alta"},0)),0)</f>
        <v>22</v>
      </c>
      <c r="G17" s="15">
        <f t="shared" si="0"/>
        <v>0</v>
      </c>
      <c r="H17" s="15">
        <f>Configuracion!$B$15</f>
        <v>0.85</v>
      </c>
      <c r="I17" s="15">
        <f t="shared" si="1"/>
        <v>0</v>
      </c>
      <c r="J17" s="16">
        <f>I17*Configuracion!$B$4</f>
        <v>0</v>
      </c>
      <c r="K17" s="2" t="s">
        <v>230</v>
      </c>
      <c r="L17" s="2" t="s">
        <v>231</v>
      </c>
      <c r="M17" s="2" t="s">
        <v>43</v>
      </c>
    </row>
    <row r="18" spans="1:13">
      <c r="A18" s="10" t="s">
        <v>220</v>
      </c>
      <c r="B18" s="2" t="s">
        <v>156</v>
      </c>
      <c r="C18" s="2" t="s">
        <v>162</v>
      </c>
      <c r="D18" s="10">
        <v>0</v>
      </c>
      <c r="E18" s="10" t="s">
        <v>43</v>
      </c>
      <c r="F18" s="15">
        <f>IFERROR(INDEX(Catalogo_Modulos!$D$4:$F$25,MATCH(C18,Catalogo_Modulos!$B$4:$B$25,0),MATCH(E18,{"Baja","Media","Alta"},0)),0)</f>
        <v>22</v>
      </c>
      <c r="G18" s="15">
        <f t="shared" si="0"/>
        <v>0</v>
      </c>
      <c r="H18" s="15">
        <f>Configuracion!$B$15</f>
        <v>0.85</v>
      </c>
      <c r="I18" s="15">
        <f t="shared" si="1"/>
        <v>0</v>
      </c>
      <c r="J18" s="16">
        <f>I18*Configuracion!$B$4</f>
        <v>0</v>
      </c>
      <c r="K18" s="2" t="s">
        <v>164</v>
      </c>
      <c r="L18" s="2" t="s">
        <v>232</v>
      </c>
      <c r="M18" s="2" t="s">
        <v>43</v>
      </c>
    </row>
    <row r="19" spans="1:13">
      <c r="A19" s="10" t="s">
        <v>220</v>
      </c>
      <c r="B19" s="2" t="s">
        <v>156</v>
      </c>
      <c r="C19" s="2" t="s">
        <v>166</v>
      </c>
      <c r="D19" s="10">
        <v>0</v>
      </c>
      <c r="E19" s="10" t="s">
        <v>43</v>
      </c>
      <c r="F19" s="15">
        <f>IFERROR(INDEX(Catalogo_Modulos!$D$4:$F$25,MATCH(C19,Catalogo_Modulos!$B$4:$B$25,0),MATCH(E19,{"Baja","Media","Alta"},0)),0)</f>
        <v>16</v>
      </c>
      <c r="G19" s="15">
        <f t="shared" si="0"/>
        <v>0</v>
      </c>
      <c r="H19" s="15">
        <f>Configuracion!$B$15</f>
        <v>0.85</v>
      </c>
      <c r="I19" s="15">
        <f t="shared" si="1"/>
        <v>0</v>
      </c>
      <c r="J19" s="16">
        <f>I19*Configuracion!$B$4</f>
        <v>0</v>
      </c>
      <c r="K19" s="2" t="s">
        <v>233</v>
      </c>
      <c r="L19" s="2" t="s">
        <v>234</v>
      </c>
      <c r="M19" s="2" t="s">
        <v>43</v>
      </c>
    </row>
    <row r="20" spans="1:13">
      <c r="A20" s="10" t="s">
        <v>220</v>
      </c>
      <c r="B20" s="2" t="s">
        <v>156</v>
      </c>
      <c r="C20" s="2" t="s">
        <v>171</v>
      </c>
      <c r="D20" s="10">
        <v>0</v>
      </c>
      <c r="E20" s="10" t="s">
        <v>43</v>
      </c>
      <c r="F20" s="15">
        <f>IFERROR(INDEX(Catalogo_Modulos!$D$4:$F$25,MATCH(C20,Catalogo_Modulos!$B$4:$B$25,0),MATCH(E20,{"Baja","Media","Alta"},0)),0)</f>
        <v>10</v>
      </c>
      <c r="G20" s="15">
        <f t="shared" si="0"/>
        <v>0</v>
      </c>
      <c r="H20" s="15">
        <f>Configuracion!$B$15</f>
        <v>0.85</v>
      </c>
      <c r="I20" s="15">
        <f t="shared" si="1"/>
        <v>0</v>
      </c>
      <c r="J20" s="16">
        <f>I20*Configuracion!$B$4</f>
        <v>0</v>
      </c>
      <c r="K20" s="2" t="s">
        <v>235</v>
      </c>
      <c r="L20" s="2" t="s">
        <v>236</v>
      </c>
      <c r="M20" s="2" t="s">
        <v>43</v>
      </c>
    </row>
    <row r="21" spans="1:13">
      <c r="A21" s="10" t="s">
        <v>220</v>
      </c>
      <c r="B21" s="2" t="s">
        <v>156</v>
      </c>
      <c r="C21" s="2" t="s">
        <v>175</v>
      </c>
      <c r="D21" s="10">
        <v>0</v>
      </c>
      <c r="E21" s="10" t="s">
        <v>43</v>
      </c>
      <c r="F21" s="15">
        <f>IFERROR(INDEX(Catalogo_Modulos!$D$4:$F$25,MATCH(C21,Catalogo_Modulos!$B$4:$B$25,0),MATCH(E21,{"Baja","Media","Alta"},0)),0)</f>
        <v>14</v>
      </c>
      <c r="G21" s="15">
        <f t="shared" si="0"/>
        <v>0</v>
      </c>
      <c r="H21" s="15">
        <f>Configuracion!$B$15</f>
        <v>0.85</v>
      </c>
      <c r="I21" s="15">
        <f t="shared" si="1"/>
        <v>0</v>
      </c>
      <c r="J21" s="16">
        <f>I21*Configuracion!$B$4</f>
        <v>0</v>
      </c>
      <c r="K21" s="2" t="s">
        <v>237</v>
      </c>
      <c r="L21" s="2" t="s">
        <v>238</v>
      </c>
      <c r="M21" s="2" t="s">
        <v>43</v>
      </c>
    </row>
    <row r="22" spans="1:13">
      <c r="A22" s="10" t="s">
        <v>220</v>
      </c>
      <c r="B22" s="2" t="s">
        <v>179</v>
      </c>
      <c r="C22" s="2" t="s">
        <v>180</v>
      </c>
      <c r="D22" s="10">
        <v>0</v>
      </c>
      <c r="E22" s="10" t="s">
        <v>43</v>
      </c>
      <c r="F22" s="15">
        <f>IFERROR(INDEX(Catalogo_Modulos!$D$4:$F$25,MATCH(C22,Catalogo_Modulos!$B$4:$B$25,0),MATCH(E22,{"Baja","Media","Alta"},0)),0)</f>
        <v>18</v>
      </c>
      <c r="G22" s="15">
        <f t="shared" si="0"/>
        <v>0</v>
      </c>
      <c r="H22" s="15">
        <f>Configuracion!$B$15</f>
        <v>0.85</v>
      </c>
      <c r="I22" s="15">
        <f t="shared" si="1"/>
        <v>0</v>
      </c>
      <c r="J22" s="16">
        <f>I22*Configuracion!$B$4</f>
        <v>0</v>
      </c>
      <c r="K22" s="2" t="s">
        <v>239</v>
      </c>
      <c r="L22" s="2" t="s">
        <v>179</v>
      </c>
      <c r="M22" s="2" t="s">
        <v>43</v>
      </c>
    </row>
    <row r="23" spans="1:13">
      <c r="A23" s="10" t="s">
        <v>56</v>
      </c>
      <c r="B23" s="2" t="s">
        <v>151</v>
      </c>
      <c r="C23" s="2" t="s">
        <v>185</v>
      </c>
      <c r="D23" s="10">
        <v>1</v>
      </c>
      <c r="E23" s="10" t="s">
        <v>43</v>
      </c>
      <c r="F23" s="15">
        <f>IFERROR(INDEX(Catalogo_Modulos!$D$4:$F$25,MATCH(C23,Catalogo_Modulos!$B$4:$B$25,0),MATCH(E23,{"Baja","Media","Alta"},0)),0)</f>
        <v>6</v>
      </c>
      <c r="G23" s="15">
        <f t="shared" si="0"/>
        <v>6</v>
      </c>
      <c r="H23" s="15">
        <f>Configuracion!$B$15</f>
        <v>0.85</v>
      </c>
      <c r="I23" s="15">
        <f t="shared" si="1"/>
        <v>5.0999999999999996</v>
      </c>
      <c r="J23" s="16">
        <f>I23*Configuracion!$B$4</f>
        <v>91800</v>
      </c>
      <c r="K23" s="2" t="s">
        <v>240</v>
      </c>
      <c r="L23" s="2" t="s">
        <v>241</v>
      </c>
      <c r="M23" s="2" t="s">
        <v>43</v>
      </c>
    </row>
    <row r="24" spans="1:13">
      <c r="A24" s="10" t="s">
        <v>56</v>
      </c>
      <c r="B24" s="2" t="s">
        <v>189</v>
      </c>
      <c r="C24" s="2" t="s">
        <v>190</v>
      </c>
      <c r="D24" s="10">
        <v>1</v>
      </c>
      <c r="E24" s="10" t="s">
        <v>43</v>
      </c>
      <c r="F24" s="15">
        <f>IFERROR(INDEX(Catalogo_Modulos!$D$4:$F$25,MATCH(C24,Catalogo_Modulos!$B$4:$B$25,0),MATCH(E24,{"Baja","Media","Alta"},0)),0)</f>
        <v>10</v>
      </c>
      <c r="G24" s="15">
        <f t="shared" si="0"/>
        <v>10</v>
      </c>
      <c r="H24" s="15">
        <f>Configuracion!$B$15</f>
        <v>0.85</v>
      </c>
      <c r="I24" s="15">
        <f t="shared" si="1"/>
        <v>8.5</v>
      </c>
      <c r="J24" s="16">
        <f>I24*Configuracion!$B$4</f>
        <v>153000</v>
      </c>
      <c r="K24" s="2" t="s">
        <v>242</v>
      </c>
      <c r="L24" s="2" t="s">
        <v>189</v>
      </c>
      <c r="M24" s="2" t="s">
        <v>211</v>
      </c>
    </row>
    <row r="25" spans="1:13">
      <c r="A25" s="10" t="s">
        <v>56</v>
      </c>
      <c r="B25" s="2" t="s">
        <v>193</v>
      </c>
      <c r="C25" s="2" t="s">
        <v>194</v>
      </c>
      <c r="D25" s="10">
        <v>1</v>
      </c>
      <c r="E25" s="10" t="s">
        <v>43</v>
      </c>
      <c r="F25" s="15">
        <f>IFERROR(INDEX(Catalogo_Modulos!$D$4:$F$25,MATCH(C25,Catalogo_Modulos!$B$4:$B$25,0),MATCH(E25,{"Baja","Media","Alta"},0)),0)</f>
        <v>8</v>
      </c>
      <c r="G25" s="15">
        <f t="shared" si="0"/>
        <v>8</v>
      </c>
      <c r="H25" s="15">
        <f>Configuracion!$B$15</f>
        <v>0.85</v>
      </c>
      <c r="I25" s="15">
        <f t="shared" si="1"/>
        <v>6.8</v>
      </c>
      <c r="J25" s="16">
        <f>I25*Configuracion!$B$4</f>
        <v>122400</v>
      </c>
      <c r="K25" s="2" t="s">
        <v>243</v>
      </c>
      <c r="L25" s="2" t="s">
        <v>244</v>
      </c>
      <c r="M25" s="2" t="s">
        <v>211</v>
      </c>
    </row>
    <row r="33" spans="1:2" ht="30">
      <c r="A33" s="7" t="s">
        <v>245</v>
      </c>
      <c r="B33" s="7" t="s">
        <v>48</v>
      </c>
    </row>
    <row r="34" spans="1:2" ht="15">
      <c r="A34" s="1" t="s">
        <v>204</v>
      </c>
      <c r="B34" s="17">
        <f>SUM(G4:G25)</f>
        <v>113</v>
      </c>
    </row>
    <row r="35" spans="1:2" ht="15">
      <c r="A35" s="1" t="s">
        <v>206</v>
      </c>
      <c r="B35" s="17">
        <f>SUM(I4:I25)</f>
        <v>96.049999999999983</v>
      </c>
    </row>
    <row r="36" spans="1:2" ht="15">
      <c r="A36" s="1" t="s">
        <v>246</v>
      </c>
      <c r="B36" s="18">
        <f>SUM(J4:J25)</f>
        <v>1728900</v>
      </c>
    </row>
    <row r="37" spans="1:2" ht="15">
      <c r="A37" s="1" t="s">
        <v>69</v>
      </c>
      <c r="B37" s="18">
        <f>B36*Configuracion!$B$10</f>
        <v>207468</v>
      </c>
    </row>
    <row r="38" spans="1:2" ht="15">
      <c r="A38" s="1" t="s">
        <v>247</v>
      </c>
      <c r="B38" s="18">
        <f>B36+B37</f>
        <v>1936368</v>
      </c>
    </row>
    <row r="39" spans="1:2" ht="15">
      <c r="A39" s="1" t="s">
        <v>73</v>
      </c>
      <c r="B39" s="18">
        <f>B38*Configuracion!$B$11</f>
        <v>484092</v>
      </c>
    </row>
    <row r="40" spans="1:2" ht="15">
      <c r="A40" s="1" t="s">
        <v>248</v>
      </c>
      <c r="B40" s="18">
        <f>B38+B39</f>
        <v>2420460</v>
      </c>
    </row>
    <row r="41" spans="1:2" ht="15">
      <c r="A41" s="1" t="s">
        <v>249</v>
      </c>
      <c r="B41" s="18">
        <f>B40*Configuracion!$B$14</f>
        <v>0</v>
      </c>
    </row>
    <row r="42" spans="1:2" ht="15">
      <c r="A42" s="1" t="s">
        <v>250</v>
      </c>
      <c r="B42" s="18">
        <f>B40-B41</f>
        <v>2420460</v>
      </c>
    </row>
    <row r="43" spans="1:2" ht="15">
      <c r="A43" s="1" t="s">
        <v>75</v>
      </c>
      <c r="B43" s="18">
        <f>IF(Configuracion!$B$13="Sí",B42*Configuracion!$B$12,0)</f>
        <v>459887.4</v>
      </c>
    </row>
    <row r="44" spans="1:2" ht="15">
      <c r="A44" s="23" t="s">
        <v>251</v>
      </c>
      <c r="B44" s="24">
        <f>B42+B43</f>
        <v>2880347.4</v>
      </c>
    </row>
  </sheetData>
  <mergeCells count="1">
    <mergeCell ref="A1:M1"/>
  </mergeCells>
  <dataValidations count="3">
    <dataValidation type="list" sqref="A4:A25" xr:uid="{00000000-0002-0000-0400-000000000000}">
      <formula1>"Sí,No,Opcional"</formula1>
    </dataValidation>
    <dataValidation type="list" sqref="E4:E25" xr:uid="{00000000-0002-0000-0400-000001000000}">
      <formula1>"Baja,Media,Alta"</formula1>
    </dataValidation>
    <dataValidation type="list" sqref="M4:M25" xr:uid="{00000000-0002-0000-0400-000002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sqref="A1:H1"/>
    </sheetView>
  </sheetViews>
  <sheetFormatPr baseColWidth="10" defaultColWidth="9" defaultRowHeight="14.25"/>
  <cols>
    <col min="1" max="1" width="22" customWidth="1"/>
    <col min="2" max="2" width="55" customWidth="1"/>
    <col min="3" max="3" width="14" customWidth="1"/>
    <col min="4" max="5" width="16" customWidth="1"/>
    <col min="6" max="6" width="18" customWidth="1"/>
    <col min="7" max="7" width="28" customWidth="1"/>
    <col min="8" max="8" width="14" customWidth="1"/>
  </cols>
  <sheetData>
    <row r="1" spans="1:8" ht="18">
      <c r="A1" s="27" t="s">
        <v>252</v>
      </c>
      <c r="B1" s="26"/>
      <c r="C1" s="26"/>
      <c r="D1" s="26"/>
      <c r="E1" s="26"/>
      <c r="F1" s="26"/>
      <c r="G1" s="26"/>
      <c r="H1" s="26"/>
    </row>
    <row r="3" spans="1:8" ht="15">
      <c r="A3" s="7" t="s">
        <v>253</v>
      </c>
      <c r="B3" s="7" t="s">
        <v>50</v>
      </c>
      <c r="C3" s="7" t="s">
        <v>254</v>
      </c>
      <c r="D3" s="7" t="s">
        <v>255</v>
      </c>
      <c r="E3" s="7" t="s">
        <v>256</v>
      </c>
      <c r="F3" s="7" t="s">
        <v>21</v>
      </c>
      <c r="G3" s="7" t="s">
        <v>92</v>
      </c>
      <c r="H3" s="7" t="s">
        <v>257</v>
      </c>
    </row>
    <row r="4" spans="1:8">
      <c r="A4" s="2" t="s">
        <v>258</v>
      </c>
      <c r="B4" s="2" t="s">
        <v>259</v>
      </c>
      <c r="C4" s="12">
        <v>3</v>
      </c>
      <c r="D4" s="20">
        <f ca="1">TODAY()+3</f>
        <v>46156</v>
      </c>
      <c r="E4" s="20">
        <f t="shared" ref="E4:E9" ca="1" si="0">D4+C4</f>
        <v>46159</v>
      </c>
      <c r="F4" s="2" t="s">
        <v>260</v>
      </c>
      <c r="G4" s="2" t="s">
        <v>261</v>
      </c>
      <c r="H4" s="2" t="s">
        <v>262</v>
      </c>
    </row>
    <row r="5" spans="1:8">
      <c r="A5" s="2" t="s">
        <v>263</v>
      </c>
      <c r="B5" s="2" t="s">
        <v>264</v>
      </c>
      <c r="C5" s="12">
        <v>7</v>
      </c>
      <c r="D5" s="20">
        <f ca="1">E4+1</f>
        <v>46160</v>
      </c>
      <c r="E5" s="20">
        <f t="shared" ca="1" si="0"/>
        <v>46167</v>
      </c>
      <c r="F5" s="2" t="s">
        <v>265</v>
      </c>
      <c r="G5" s="2" t="s">
        <v>266</v>
      </c>
      <c r="H5" s="2" t="s">
        <v>262</v>
      </c>
    </row>
    <row r="6" spans="1:8">
      <c r="A6" s="2" t="s">
        <v>267</v>
      </c>
      <c r="B6" s="2" t="s">
        <v>268</v>
      </c>
      <c r="C6" s="12">
        <v>14</v>
      </c>
      <c r="D6" s="20">
        <f ca="1">E5+1</f>
        <v>46168</v>
      </c>
      <c r="E6" s="20">
        <f t="shared" ca="1" si="0"/>
        <v>46182</v>
      </c>
      <c r="F6" s="2" t="s">
        <v>269</v>
      </c>
      <c r="G6" s="2" t="s">
        <v>270</v>
      </c>
      <c r="H6" s="2" t="s">
        <v>262</v>
      </c>
    </row>
    <row r="7" spans="1:8" ht="28.5">
      <c r="A7" s="2" t="s">
        <v>271</v>
      </c>
      <c r="B7" s="2" t="s">
        <v>272</v>
      </c>
      <c r="C7" s="12">
        <v>5</v>
      </c>
      <c r="D7" s="20">
        <f ca="1">E6+1</f>
        <v>46183</v>
      </c>
      <c r="E7" s="20">
        <f t="shared" ca="1" si="0"/>
        <v>46188</v>
      </c>
      <c r="F7" s="2" t="s">
        <v>273</v>
      </c>
      <c r="G7" s="2" t="s">
        <v>274</v>
      </c>
      <c r="H7" s="2" t="s">
        <v>262</v>
      </c>
    </row>
    <row r="8" spans="1:8" ht="28.5">
      <c r="A8" s="2" t="s">
        <v>275</v>
      </c>
      <c r="B8" s="2" t="s">
        <v>276</v>
      </c>
      <c r="C8" s="12">
        <v>5</v>
      </c>
      <c r="D8" s="20">
        <f ca="1">E7+1</f>
        <v>46189</v>
      </c>
      <c r="E8" s="20">
        <f t="shared" ca="1" si="0"/>
        <v>46194</v>
      </c>
      <c r="F8" s="2" t="s">
        <v>269</v>
      </c>
      <c r="G8" s="2" t="s">
        <v>192</v>
      </c>
      <c r="H8" s="2" t="s">
        <v>262</v>
      </c>
    </row>
    <row r="9" spans="1:8" ht="28.5">
      <c r="A9" s="2" t="s">
        <v>277</v>
      </c>
      <c r="B9" s="2" t="s">
        <v>278</v>
      </c>
      <c r="C9" s="12">
        <v>2</v>
      </c>
      <c r="D9" s="20">
        <f ca="1">E8+1</f>
        <v>46195</v>
      </c>
      <c r="E9" s="20">
        <f t="shared" ca="1" si="0"/>
        <v>46197</v>
      </c>
      <c r="F9" s="2" t="s">
        <v>273</v>
      </c>
      <c r="G9" s="2" t="s">
        <v>196</v>
      </c>
      <c r="H9" s="2" t="s">
        <v>262</v>
      </c>
    </row>
  </sheetData>
  <mergeCells count="1">
    <mergeCell ref="A1:H1"/>
  </mergeCells>
  <dataValidations count="1">
    <dataValidation type="list" sqref="H4:H9" xr:uid="{00000000-0002-0000-0500-000000000000}">
      <formula1>"Pendiente,En curso,Aprobado,Bloqueado,Finalizado"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"/>
  <sheetViews>
    <sheetView workbookViewId="0">
      <selection sqref="A1:I1"/>
    </sheetView>
  </sheetViews>
  <sheetFormatPr baseColWidth="10" defaultColWidth="9" defaultRowHeight="14.25"/>
  <cols>
    <col min="1" max="1" width="12" customWidth="1"/>
    <col min="2" max="2" width="18" customWidth="1"/>
    <col min="3" max="3" width="22" customWidth="1"/>
    <col min="4" max="4" width="16" customWidth="1"/>
    <col min="5" max="5" width="14" customWidth="1"/>
    <col min="6" max="6" width="18" customWidth="1"/>
    <col min="7" max="7" width="48" customWidth="1"/>
    <col min="8" max="8" width="28" customWidth="1"/>
    <col min="9" max="9" width="16" customWidth="1"/>
  </cols>
  <sheetData>
    <row r="1" spans="1:9" ht="18">
      <c r="A1" s="27" t="s">
        <v>279</v>
      </c>
      <c r="B1" s="26"/>
      <c r="C1" s="26"/>
      <c r="D1" s="26"/>
      <c r="E1" s="26"/>
      <c r="F1" s="26"/>
      <c r="G1" s="26"/>
      <c r="H1" s="26"/>
      <c r="I1" s="26"/>
    </row>
    <row r="3" spans="1:9" ht="30">
      <c r="A3" s="7" t="s">
        <v>199</v>
      </c>
      <c r="B3" s="7" t="s">
        <v>280</v>
      </c>
      <c r="C3" s="7" t="s">
        <v>281</v>
      </c>
      <c r="D3" s="7" t="s">
        <v>282</v>
      </c>
      <c r="E3" s="7" t="s">
        <v>283</v>
      </c>
      <c r="F3" s="7" t="s">
        <v>284</v>
      </c>
      <c r="G3" s="7" t="s">
        <v>285</v>
      </c>
      <c r="H3" s="7" t="s">
        <v>286</v>
      </c>
      <c r="I3" s="7" t="s">
        <v>287</v>
      </c>
    </row>
    <row r="4" spans="1:9">
      <c r="A4" s="10" t="s">
        <v>56</v>
      </c>
      <c r="B4" s="2" t="s">
        <v>288</v>
      </c>
      <c r="C4" s="2" t="s">
        <v>289</v>
      </c>
      <c r="D4" s="8">
        <v>85000</v>
      </c>
      <c r="E4" s="10">
        <v>2</v>
      </c>
      <c r="F4" s="2" t="s">
        <v>290</v>
      </c>
      <c r="G4" s="2" t="s">
        <v>291</v>
      </c>
      <c r="H4" s="2" t="s">
        <v>292</v>
      </c>
      <c r="I4" s="16">
        <f>IF(A4="Sí",D4,0)</f>
        <v>85000</v>
      </c>
    </row>
    <row r="5" spans="1:9" ht="28.5">
      <c r="A5" s="10" t="s">
        <v>220</v>
      </c>
      <c r="B5" s="2" t="s">
        <v>132</v>
      </c>
      <c r="C5" s="2" t="s">
        <v>293</v>
      </c>
      <c r="D5" s="8">
        <v>100000</v>
      </c>
      <c r="E5" s="10">
        <v>3</v>
      </c>
      <c r="F5" s="2" t="s">
        <v>294</v>
      </c>
      <c r="G5" s="2" t="s">
        <v>295</v>
      </c>
      <c r="H5" s="2" t="s">
        <v>292</v>
      </c>
      <c r="I5" s="16">
        <f>IF(A5="Sí",D5,0)</f>
        <v>0</v>
      </c>
    </row>
    <row r="6" spans="1:9" ht="28.5">
      <c r="A6" s="10" t="s">
        <v>220</v>
      </c>
      <c r="B6" s="2" t="s">
        <v>296</v>
      </c>
      <c r="C6" s="2" t="s">
        <v>297</v>
      </c>
      <c r="D6" s="8">
        <v>350000</v>
      </c>
      <c r="E6" s="10">
        <v>10</v>
      </c>
      <c r="F6" s="2" t="s">
        <v>294</v>
      </c>
      <c r="G6" s="2" t="s">
        <v>298</v>
      </c>
      <c r="H6" s="2" t="s">
        <v>292</v>
      </c>
      <c r="I6" s="16">
        <f>IF(A6="Sí",D6,0)</f>
        <v>0</v>
      </c>
    </row>
    <row r="7" spans="1:9">
      <c r="A7" s="10" t="s">
        <v>220</v>
      </c>
      <c r="B7" s="2" t="s">
        <v>299</v>
      </c>
      <c r="C7" s="2" t="s">
        <v>300</v>
      </c>
      <c r="D7" s="8">
        <v>180000</v>
      </c>
      <c r="E7" s="10">
        <v>10</v>
      </c>
      <c r="F7" s="2" t="s">
        <v>301</v>
      </c>
      <c r="G7" s="2" t="s">
        <v>302</v>
      </c>
      <c r="H7" s="2" t="s">
        <v>51</v>
      </c>
      <c r="I7" s="16">
        <f>IF(A7="Sí",D7,0)</f>
        <v>0</v>
      </c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 ht="15">
      <c r="A10" s="2"/>
      <c r="B10" s="2"/>
      <c r="C10" s="2"/>
      <c r="D10" s="2"/>
      <c r="E10" s="2"/>
      <c r="F10" s="2"/>
      <c r="G10" s="2"/>
      <c r="H10" s="7" t="s">
        <v>303</v>
      </c>
      <c r="I10" s="7" t="s">
        <v>48</v>
      </c>
    </row>
    <row r="11" spans="1:9" ht="15">
      <c r="A11" s="2"/>
      <c r="B11" s="2"/>
      <c r="C11" s="2"/>
      <c r="D11" s="2"/>
      <c r="E11" s="2"/>
      <c r="F11" s="2"/>
      <c r="G11" s="2"/>
      <c r="H11" s="21" t="s">
        <v>304</v>
      </c>
      <c r="I11" s="16">
        <f>SUM(I4:I7)</f>
        <v>85000</v>
      </c>
    </row>
    <row r="12" spans="1:9" ht="15">
      <c r="A12" s="2"/>
      <c r="B12" s="2"/>
      <c r="C12" s="2"/>
      <c r="D12" s="2"/>
      <c r="E12" s="2"/>
      <c r="F12" s="2"/>
      <c r="G12" s="2"/>
      <c r="H12" s="21" t="s">
        <v>305</v>
      </c>
      <c r="I12" s="16">
        <f>I11*12</f>
        <v>1020000</v>
      </c>
    </row>
  </sheetData>
  <mergeCells count="1">
    <mergeCell ref="A1:I1"/>
  </mergeCells>
  <dataValidations count="1">
    <dataValidation type="list" sqref="A4:A7" xr:uid="{00000000-0002-0000-0600-000000000000}">
      <formula1>"Sí,No,Opcional"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workbookViewId="0">
      <selection sqref="A1:H1"/>
    </sheetView>
  </sheetViews>
  <sheetFormatPr baseColWidth="10" defaultColWidth="9" defaultRowHeight="14.25"/>
  <cols>
    <col min="1" max="1" width="22" customWidth="1"/>
    <col min="2" max="2" width="24" customWidth="1"/>
    <col min="3" max="3" width="38" customWidth="1"/>
    <col min="4" max="8" width="22" customWidth="1"/>
  </cols>
  <sheetData>
    <row r="1" spans="1:8" ht="18">
      <c r="A1" s="27" t="s">
        <v>306</v>
      </c>
      <c r="B1" s="26"/>
      <c r="C1" s="26"/>
      <c r="D1" s="26"/>
      <c r="E1" s="26"/>
      <c r="F1" s="26"/>
      <c r="G1" s="26"/>
      <c r="H1" s="26"/>
    </row>
    <row r="3" spans="1:8" ht="15">
      <c r="A3" s="1" t="s">
        <v>307</v>
      </c>
      <c r="B3">
        <f>Datos_Cliente!B4</f>
        <v>0</v>
      </c>
      <c r="C3" s="1" t="s">
        <v>308</v>
      </c>
      <c r="D3" t="str">
        <f>Datos_Cliente!B7</f>
        <v>Web corporativa</v>
      </c>
      <c r="E3" s="1" t="s">
        <v>309</v>
      </c>
      <c r="F3" s="19">
        <f>Datos_Cliente!B3</f>
        <v>46153.55050892361</v>
      </c>
    </row>
    <row r="4" spans="1:8" ht="15">
      <c r="A4" s="1" t="s">
        <v>1</v>
      </c>
      <c r="B4">
        <f>Datos_Cliente!B10</f>
        <v>0</v>
      </c>
      <c r="C4" s="1" t="s">
        <v>310</v>
      </c>
      <c r="D4">
        <f>Datos_Cliente!E9</f>
        <v>0</v>
      </c>
      <c r="E4" s="1" t="s">
        <v>42</v>
      </c>
      <c r="F4" t="str">
        <f>Datos_Cliente!E11</f>
        <v>Media</v>
      </c>
    </row>
    <row r="6" spans="1:8" ht="15">
      <c r="A6" s="7" t="s">
        <v>311</v>
      </c>
      <c r="B6" s="7" t="s">
        <v>48</v>
      </c>
      <c r="C6" s="7" t="s">
        <v>52</v>
      </c>
    </row>
    <row r="7" spans="1:8" ht="15">
      <c r="A7" s="1" t="s">
        <v>312</v>
      </c>
      <c r="B7" s="13">
        <f>Calculadora!B34</f>
        <v>113</v>
      </c>
      <c r="C7" t="s">
        <v>313</v>
      </c>
    </row>
    <row r="8" spans="1:8" ht="15">
      <c r="A8" s="1" t="s">
        <v>206</v>
      </c>
      <c r="B8" s="13">
        <f>Calculadora!B35</f>
        <v>96.049999999999983</v>
      </c>
      <c r="C8" t="s">
        <v>314</v>
      </c>
    </row>
    <row r="9" spans="1:8" ht="15">
      <c r="A9" s="1" t="s">
        <v>248</v>
      </c>
      <c r="B9" s="14">
        <f>Calculadora!B42</f>
        <v>2420460</v>
      </c>
      <c r="C9" t="s">
        <v>315</v>
      </c>
    </row>
    <row r="10" spans="1:8" ht="15">
      <c r="A10" s="1" t="s">
        <v>75</v>
      </c>
      <c r="B10" s="14">
        <f>Calculadora!B43</f>
        <v>459887.4</v>
      </c>
      <c r="C10" t="s">
        <v>316</v>
      </c>
    </row>
    <row r="11" spans="1:8" ht="15">
      <c r="A11" s="6" t="s">
        <v>317</v>
      </c>
      <c r="B11" s="22">
        <f>Calculadora!B44</f>
        <v>2880347.4</v>
      </c>
      <c r="C11" t="s">
        <v>318</v>
      </c>
    </row>
    <row r="12" spans="1:8" ht="15">
      <c r="A12" s="1" t="s">
        <v>319</v>
      </c>
      <c r="B12" s="14">
        <f>Servicios_Mensuales!I11</f>
        <v>85000</v>
      </c>
      <c r="C12" t="s">
        <v>320</v>
      </c>
    </row>
    <row r="15" spans="1:8" ht="15">
      <c r="A15" s="28" t="s">
        <v>321</v>
      </c>
      <c r="B15" s="26"/>
      <c r="C15" s="26"/>
      <c r="D15" s="26"/>
      <c r="E15" s="26"/>
      <c r="F15" s="26"/>
      <c r="G15" s="26"/>
      <c r="H15" s="26"/>
    </row>
    <row r="16" spans="1:8">
      <c r="A16" s="29" t="s">
        <v>322</v>
      </c>
      <c r="B16" s="26"/>
      <c r="C16" s="26"/>
      <c r="D16" s="26"/>
      <c r="E16" s="26"/>
      <c r="F16" s="26"/>
      <c r="G16" s="26"/>
      <c r="H16" s="26"/>
    </row>
    <row r="17" spans="1:8">
      <c r="A17" s="26"/>
      <c r="B17" s="26"/>
      <c r="C17" s="26"/>
      <c r="D17" s="26"/>
      <c r="E17" s="26"/>
      <c r="F17" s="26"/>
      <c r="G17" s="26"/>
      <c r="H17" s="26"/>
    </row>
    <row r="18" spans="1:8">
      <c r="A18" s="26"/>
      <c r="B18" s="26"/>
      <c r="C18" s="26"/>
      <c r="D18" s="26"/>
      <c r="E18" s="26"/>
      <c r="F18" s="26"/>
      <c r="G18" s="26"/>
      <c r="H18" s="26"/>
    </row>
  </sheetData>
  <mergeCells count="3">
    <mergeCell ref="A1:H1"/>
    <mergeCell ref="A15:H15"/>
    <mergeCell ref="A16:H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tabSelected="1" workbookViewId="0">
      <selection sqref="A1:H1"/>
    </sheetView>
  </sheetViews>
  <sheetFormatPr baseColWidth="10" defaultColWidth="9" defaultRowHeight="14.25"/>
  <cols>
    <col min="1" max="1" width="18" customWidth="1"/>
    <col min="2" max="2" width="55" customWidth="1"/>
    <col min="3" max="3" width="38" customWidth="1"/>
    <col min="4" max="4" width="13" customWidth="1"/>
    <col min="5" max="5" width="12" customWidth="1"/>
    <col min="6" max="6" width="14" customWidth="1"/>
    <col min="7" max="7" width="34" customWidth="1"/>
    <col min="8" max="8" width="18" customWidth="1"/>
  </cols>
  <sheetData>
    <row r="1" spans="1:8" ht="18">
      <c r="A1" s="27" t="s">
        <v>323</v>
      </c>
      <c r="B1" s="26"/>
      <c r="C1" s="26"/>
      <c r="D1" s="26"/>
      <c r="E1" s="26"/>
      <c r="F1" s="26"/>
      <c r="G1" s="26"/>
      <c r="H1" s="26"/>
    </row>
    <row r="3" spans="1:8" ht="15">
      <c r="A3" s="7" t="s">
        <v>324</v>
      </c>
      <c r="B3" s="7" t="s">
        <v>325</v>
      </c>
      <c r="C3" s="7" t="s">
        <v>326</v>
      </c>
      <c r="D3" s="7" t="s">
        <v>327</v>
      </c>
      <c r="E3" s="7" t="s">
        <v>42</v>
      </c>
      <c r="F3" s="7" t="s">
        <v>257</v>
      </c>
      <c r="G3" s="7" t="s">
        <v>45</v>
      </c>
      <c r="H3" s="7" t="s">
        <v>21</v>
      </c>
    </row>
    <row r="4" spans="1:8">
      <c r="A4" s="2" t="s">
        <v>328</v>
      </c>
      <c r="B4" s="2" t="s">
        <v>329</v>
      </c>
      <c r="C4" s="10"/>
      <c r="D4" s="2" t="s">
        <v>56</v>
      </c>
      <c r="E4" s="2" t="s">
        <v>211</v>
      </c>
      <c r="F4" s="2" t="s">
        <v>262</v>
      </c>
      <c r="G4" s="2"/>
      <c r="H4" s="2" t="s">
        <v>307</v>
      </c>
    </row>
    <row r="5" spans="1:8">
      <c r="A5" s="2" t="s">
        <v>328</v>
      </c>
      <c r="B5" s="2" t="s">
        <v>330</v>
      </c>
      <c r="C5" s="10"/>
      <c r="D5" s="2" t="s">
        <v>56</v>
      </c>
      <c r="E5" s="2" t="s">
        <v>211</v>
      </c>
      <c r="F5" s="2" t="s">
        <v>262</v>
      </c>
      <c r="G5" s="2"/>
      <c r="H5" s="2" t="s">
        <v>307</v>
      </c>
    </row>
    <row r="6" spans="1:8">
      <c r="A6" s="2" t="s">
        <v>127</v>
      </c>
      <c r="B6" s="2" t="s">
        <v>331</v>
      </c>
      <c r="C6" s="10"/>
      <c r="D6" s="2" t="s">
        <v>56</v>
      </c>
      <c r="E6" s="2" t="s">
        <v>211</v>
      </c>
      <c r="F6" s="2" t="s">
        <v>262</v>
      </c>
      <c r="G6" s="2"/>
      <c r="H6" s="2" t="s">
        <v>307</v>
      </c>
    </row>
    <row r="7" spans="1:8">
      <c r="A7" s="2" t="s">
        <v>105</v>
      </c>
      <c r="B7" s="2" t="s">
        <v>332</v>
      </c>
      <c r="C7" s="10"/>
      <c r="D7" s="2" t="s">
        <v>56</v>
      </c>
      <c r="E7" s="2" t="s">
        <v>211</v>
      </c>
      <c r="F7" s="2" t="s">
        <v>262</v>
      </c>
      <c r="G7" s="2"/>
      <c r="H7" s="2" t="s">
        <v>307</v>
      </c>
    </row>
    <row r="8" spans="1:8">
      <c r="A8" s="2" t="s">
        <v>333</v>
      </c>
      <c r="B8" s="2" t="s">
        <v>334</v>
      </c>
      <c r="C8" s="10"/>
      <c r="D8" s="2" t="s">
        <v>56</v>
      </c>
      <c r="E8" s="2" t="s">
        <v>211</v>
      </c>
      <c r="F8" s="2" t="s">
        <v>262</v>
      </c>
      <c r="G8" s="2"/>
      <c r="H8" s="2" t="s">
        <v>269</v>
      </c>
    </row>
    <row r="9" spans="1:8">
      <c r="A9" s="2" t="s">
        <v>335</v>
      </c>
      <c r="B9" s="2" t="s">
        <v>336</v>
      </c>
      <c r="C9" s="10"/>
      <c r="D9" s="2" t="s">
        <v>56</v>
      </c>
      <c r="E9" s="2" t="s">
        <v>43</v>
      </c>
      <c r="F9" s="2" t="s">
        <v>262</v>
      </c>
      <c r="G9" s="2"/>
      <c r="H9" s="2" t="s">
        <v>269</v>
      </c>
    </row>
    <row r="10" spans="1:8">
      <c r="A10" s="2" t="s">
        <v>156</v>
      </c>
      <c r="B10" s="2" t="s">
        <v>337</v>
      </c>
      <c r="C10" s="10"/>
      <c r="D10" s="2" t="s">
        <v>56</v>
      </c>
      <c r="E10" s="2" t="s">
        <v>211</v>
      </c>
      <c r="F10" s="2" t="s">
        <v>262</v>
      </c>
      <c r="G10" s="2"/>
      <c r="H10" s="2" t="s">
        <v>338</v>
      </c>
    </row>
    <row r="11" spans="1:8">
      <c r="A11" s="2" t="s">
        <v>156</v>
      </c>
      <c r="B11" s="2" t="s">
        <v>339</v>
      </c>
      <c r="C11" s="10"/>
      <c r="D11" s="2" t="s">
        <v>56</v>
      </c>
      <c r="E11" s="2" t="s">
        <v>211</v>
      </c>
      <c r="F11" s="2" t="s">
        <v>262</v>
      </c>
      <c r="G11" s="2"/>
      <c r="H11" s="2" t="s">
        <v>307</v>
      </c>
    </row>
    <row r="12" spans="1:8">
      <c r="A12" s="2" t="s">
        <v>340</v>
      </c>
      <c r="B12" s="2" t="s">
        <v>341</v>
      </c>
      <c r="C12" s="10"/>
      <c r="D12" s="2" t="s">
        <v>56</v>
      </c>
      <c r="E12" s="2" t="s">
        <v>43</v>
      </c>
      <c r="F12" s="2" t="s">
        <v>262</v>
      </c>
      <c r="G12" s="2"/>
      <c r="H12" s="2" t="s">
        <v>307</v>
      </c>
    </row>
    <row r="13" spans="1:8">
      <c r="A13" s="2" t="s">
        <v>132</v>
      </c>
      <c r="B13" s="2" t="s">
        <v>342</v>
      </c>
      <c r="C13" s="10"/>
      <c r="D13" s="2" t="s">
        <v>56</v>
      </c>
      <c r="E13" s="2" t="s">
        <v>43</v>
      </c>
      <c r="F13" s="2" t="s">
        <v>262</v>
      </c>
      <c r="G13" s="2"/>
      <c r="H13" s="2" t="s">
        <v>269</v>
      </c>
    </row>
    <row r="14" spans="1:8" ht="28.5">
      <c r="A14" s="2" t="s">
        <v>137</v>
      </c>
      <c r="B14" s="2" t="s">
        <v>343</v>
      </c>
      <c r="C14" s="10"/>
      <c r="D14" s="2" t="s">
        <v>56</v>
      </c>
      <c r="E14" s="2" t="s">
        <v>211</v>
      </c>
      <c r="F14" s="2" t="s">
        <v>262</v>
      </c>
      <c r="G14" s="2"/>
      <c r="H14" s="2" t="s">
        <v>307</v>
      </c>
    </row>
    <row r="15" spans="1:8">
      <c r="A15" s="2" t="s">
        <v>344</v>
      </c>
      <c r="B15" s="2" t="s">
        <v>345</v>
      </c>
      <c r="C15" s="10"/>
      <c r="D15" s="2" t="s">
        <v>56</v>
      </c>
      <c r="E15" s="2" t="s">
        <v>211</v>
      </c>
      <c r="F15" s="2" t="s">
        <v>262</v>
      </c>
      <c r="G15" s="2"/>
      <c r="H15" s="2" t="s">
        <v>307</v>
      </c>
    </row>
    <row r="16" spans="1:8" ht="28.5">
      <c r="A16" s="2" t="s">
        <v>346</v>
      </c>
      <c r="B16" s="2" t="s">
        <v>347</v>
      </c>
      <c r="C16" s="10"/>
      <c r="D16" s="2" t="s">
        <v>56</v>
      </c>
      <c r="E16" s="2" t="s">
        <v>43</v>
      </c>
      <c r="F16" s="2" t="s">
        <v>262</v>
      </c>
      <c r="G16" s="2"/>
      <c r="H16" s="2" t="s">
        <v>269</v>
      </c>
    </row>
    <row r="17" spans="1:8">
      <c r="A17" s="2" t="s">
        <v>348</v>
      </c>
      <c r="B17" s="2" t="s">
        <v>349</v>
      </c>
      <c r="C17" s="10"/>
      <c r="D17" s="2" t="s">
        <v>56</v>
      </c>
      <c r="E17" s="2" t="s">
        <v>211</v>
      </c>
      <c r="F17" s="2" t="s">
        <v>262</v>
      </c>
      <c r="G17" s="2"/>
      <c r="H17" s="2" t="s">
        <v>307</v>
      </c>
    </row>
  </sheetData>
  <mergeCells count="1">
    <mergeCell ref="A1:H1"/>
  </mergeCells>
  <dataValidations count="3">
    <dataValidation type="list" sqref="D4:D17" xr:uid="{00000000-0002-0000-0800-000000000000}">
      <formula1>"Sí,No"</formula1>
    </dataValidation>
    <dataValidation type="list" sqref="E4:E17" xr:uid="{00000000-0002-0000-0800-000001000000}">
      <formula1>"Alta,Media,Baja"</formula1>
    </dataValidation>
    <dataValidation type="list" sqref="F4:F17" xr:uid="{00000000-0002-0000-0800-000002000000}">
      <formula1>"Pendiente,Respondido,Bloqueado,Validado"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README</vt:lpstr>
      <vt:lpstr>Datos_Cliente</vt:lpstr>
      <vt:lpstr>Configuracion</vt:lpstr>
      <vt:lpstr>Catalogo_Modulos</vt:lpstr>
      <vt:lpstr>Calculadora</vt:lpstr>
      <vt:lpstr>Cronograma</vt:lpstr>
      <vt:lpstr>Servicios_Mensuales</vt:lpstr>
      <vt:lpstr>Resumen_Cotizacion</vt:lpstr>
      <vt:lpstr>Checklist_Requerimientos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Andrés Guerra Estay</cp:lastModifiedBy>
  <dcterms:modified xsi:type="dcterms:W3CDTF">2026-05-11T13:28:19Z</dcterms:modified>
</cp:coreProperties>
</file>